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oc9\Documents\U Javeriana\2026-I\ADDPTD\Notas\"/>
    </mc:Choice>
  </mc:AlternateContent>
  <xr:revisionPtr revIDLastSave="0" documentId="13_ncr:1_{5E839D82-4B01-42D3-8081-5C463E739F29}" xr6:coauthVersionLast="47" xr6:coauthVersionMax="47" xr10:uidLastSave="{00000000-0000-0000-0000-000000000000}"/>
  <bookViews>
    <workbookView xWindow="43095" yWindow="0" windowWidth="14610" windowHeight="15585" xr2:uid="{E5DB008B-5FF0-4E41-8E23-12340A8ED5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<sst xmlns="http://schemas.openxmlformats.org/spreadsheetml/2006/main" count="40" uniqueCount="39">
  <si>
    <t>Andrade Varela</t>
  </si>
  <si>
    <t>Isabella</t>
  </si>
  <si>
    <t>Campo Alzate</t>
  </si>
  <si>
    <t>Hugo Alejandro</t>
  </si>
  <si>
    <t>Care Ruiz</t>
  </si>
  <si>
    <t>Daniel Steven</t>
  </si>
  <si>
    <t>Corrales Mejia</t>
  </si>
  <si>
    <t>Juan Diego</t>
  </si>
  <si>
    <t>Guevara Dorado</t>
  </si>
  <si>
    <t>Luis Felipe</t>
  </si>
  <si>
    <t>Gutierrez Medina</t>
  </si>
  <si>
    <t>Daniel</t>
  </si>
  <si>
    <t>Hissami Olmos</t>
  </si>
  <si>
    <t>Tarek</t>
  </si>
  <si>
    <t>Mendoza Paz</t>
  </si>
  <si>
    <t>David</t>
  </si>
  <si>
    <t>Osorio Gomez</t>
  </si>
  <si>
    <t>Valeria</t>
  </si>
  <si>
    <t>Rojas Benitez</t>
  </si>
  <si>
    <t>Rosero Guerrero</t>
  </si>
  <si>
    <t>Santiago</t>
  </si>
  <si>
    <t>Saavedra Hernandez</t>
  </si>
  <si>
    <t>Julian Andres</t>
  </si>
  <si>
    <t>Sanchez Navarro</t>
  </si>
  <si>
    <t>Sara Sofia</t>
  </si>
  <si>
    <t>Sarria Lopez</t>
  </si>
  <si>
    <t>Karina</t>
  </si>
  <si>
    <t>ID</t>
  </si>
  <si>
    <t>Item</t>
  </si>
  <si>
    <t>Apellido</t>
  </si>
  <si>
    <t>Nombre</t>
  </si>
  <si>
    <t>Corte 1</t>
  </si>
  <si>
    <t>Taller 1</t>
  </si>
  <si>
    <t>Taller 2</t>
  </si>
  <si>
    <t>Taller3</t>
  </si>
  <si>
    <t>Taller 10%</t>
  </si>
  <si>
    <t>Taller 5%</t>
  </si>
  <si>
    <t>Taller Entrega Base de Datos  (15%)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</si>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</sst>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8" formatCode="0.000000000000000%"/>
    <numFmt numFmtId="169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0" applyNumberFormat="1"/>
    <xf numFmtId="168" fontId="0" fillId="0" borderId="0" xfId="0" applyNumberFormat="1"/>
    <xf numFmtId="169" fontId="0" fillId="0" borderId="0" xfId="0" applyNumberFormat="1" applyAlignment="1">
      <alignment horizontal="center"/>
    </xf>
    <xf numFmtId="169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5F78-A8A8-4E3D-8821-E3AAD00EFFF1}">
  <dimension ref="A1:P18"/>
  <sheetViews>
    <sheetView tabSelected="1" zoomScale="85" zoomScaleNormal="85" workbookViewId="0">
      <selection activeCell="A14" sqref="A14:XFD14"/>
    </sheetView>
  </sheetViews>
  <sheetFormatPr baseColWidth="10" defaultRowHeight="14.4" x14ac:dyDescent="0.3"/>
  <cols>
    <col min="1" max="1" width="4.6640625" bestFit="1" customWidth="1"/>
    <col min="3" max="3" width="17.6640625" bestFit="1" customWidth="1"/>
    <col min="4" max="4" width="13.21875" bestFit="1" customWidth="1"/>
    <col min="10" max="10" width="29.33203125" bestFit="1" customWidth="1"/>
    <col min="12" max="14" width="21" bestFit="1" customWidth="1"/>
  </cols>
  <sheetData>
    <row r="1" spans="1:11" x14ac:dyDescent="0.3">
      <c r="A1" t="s">
        <v>28</v>
      </c>
      <c r="B1" t="s">
        <v>27</v>
      </c>
      <c r="C1" t="s">
        <v>29</v>
      </c>
      <c r="D1" t="s">
        <v>30</v>
      </c>
      <c r="E1" t="s">
        <v>32</v>
      </c>
      <c r="F1" t="s">
        <v>33</v>
      </c>
      <c r="G1" t="s">
        <v>35</v>
      </c>
      <c r="H1" t="s">
        <v>34</v>
      </c>
      <c r="I1" t="s">
        <v>36</v>
      </c>
      <c r="J1" t="s">
        <v>37</v>
      </c>
      <c r="K1" t="s">
        <v>38</v>
      </c>
    </row>
    <row r="2" spans="1:11" x14ac:dyDescent="0.3">
      <c r="A2">
        <v>1</v>
      </c>
      <c r="B2">
        <v>8970456</v>
      </c>
      <c r="C2" t="s">
        <v>0</v>
      </c>
      <c r="D2" t="s">
        <v>1</v>
      </c>
      <c r="E2">
        <v>4.7</v>
      </c>
      <c r="F2">
        <v>4.7</v>
      </c>
      <c r="G2">
        <f>AVERAGE(E2:F2)</f>
        <v>4.7</v>
      </c>
      <c r="H2">
        <v>5</v>
      </c>
      <c r="I2" s="3">
        <f>H2</f>
        <v>5</v>
      </c>
      <c r="J2" s="3">
        <v>5</v>
      </c>
      <c r="K2" s="4">
        <f>G2*$L$18+I2*$M$18+J2*$N$18</f>
        <v>4.8999999999999995</v>
      </c>
    </row>
    <row r="3" spans="1:11" x14ac:dyDescent="0.3">
      <c r="A3">
        <v>2</v>
      </c>
      <c r="B3">
        <v>8988191</v>
      </c>
      <c r="C3" t="s">
        <v>2</v>
      </c>
      <c r="D3" t="s">
        <v>3</v>
      </c>
      <c r="E3">
        <v>5</v>
      </c>
      <c r="F3">
        <v>5</v>
      </c>
      <c r="G3">
        <f t="shared" ref="G3:G15" si="0">AVERAGE(E3:F3)</f>
        <v>5</v>
      </c>
      <c r="H3">
        <v>5</v>
      </c>
      <c r="I3" s="3">
        <f t="shared" ref="I3:I15" si="1">H3</f>
        <v>5</v>
      </c>
      <c r="J3" s="3">
        <v>0</v>
      </c>
      <c r="K3" s="4">
        <f t="shared" ref="K3:K15" si="2">G3*$L$18+I3*$M$18+J3*$N$18</f>
        <v>2.5</v>
      </c>
    </row>
    <row r="4" spans="1:11" x14ac:dyDescent="0.3">
      <c r="A4">
        <v>3</v>
      </c>
      <c r="B4">
        <v>8978785</v>
      </c>
      <c r="C4" t="s">
        <v>4</v>
      </c>
      <c r="D4" t="s">
        <v>5</v>
      </c>
      <c r="E4">
        <v>4.5</v>
      </c>
      <c r="F4">
        <v>4.7</v>
      </c>
      <c r="G4">
        <f t="shared" si="0"/>
        <v>4.5999999999999996</v>
      </c>
      <c r="H4">
        <v>4.5</v>
      </c>
      <c r="I4" s="3">
        <f t="shared" si="1"/>
        <v>4.5</v>
      </c>
      <c r="J4" s="3">
        <v>5</v>
      </c>
      <c r="K4" s="4">
        <f t="shared" si="2"/>
        <v>4.7833333333333332</v>
      </c>
    </row>
    <row r="5" spans="1:11" x14ac:dyDescent="0.3">
      <c r="A5">
        <v>4</v>
      </c>
      <c r="B5">
        <v>8976442</v>
      </c>
      <c r="C5" t="s">
        <v>6</v>
      </c>
      <c r="D5" t="s">
        <v>7</v>
      </c>
      <c r="E5">
        <v>4.5</v>
      </c>
      <c r="F5">
        <v>4.7</v>
      </c>
      <c r="G5">
        <f t="shared" si="0"/>
        <v>4.5999999999999996</v>
      </c>
      <c r="H5">
        <v>3</v>
      </c>
      <c r="I5" s="3">
        <f t="shared" si="1"/>
        <v>3</v>
      </c>
      <c r="J5" s="3">
        <v>5</v>
      </c>
      <c r="K5" s="4">
        <f t="shared" si="2"/>
        <v>4.5333333333333332</v>
      </c>
    </row>
    <row r="6" spans="1:11" x14ac:dyDescent="0.3">
      <c r="A6">
        <v>5</v>
      </c>
      <c r="B6">
        <v>8971059</v>
      </c>
      <c r="C6" t="s">
        <v>8</v>
      </c>
      <c r="D6" t="s">
        <v>9</v>
      </c>
      <c r="E6">
        <v>4</v>
      </c>
      <c r="F6">
        <v>4</v>
      </c>
      <c r="G6">
        <f t="shared" si="0"/>
        <v>4</v>
      </c>
      <c r="H6">
        <v>4.5</v>
      </c>
      <c r="I6" s="3">
        <f t="shared" si="1"/>
        <v>4.5</v>
      </c>
      <c r="J6" s="3">
        <v>5</v>
      </c>
      <c r="K6" s="4">
        <f t="shared" si="2"/>
        <v>4.5833333333333321</v>
      </c>
    </row>
    <row r="7" spans="1:11" x14ac:dyDescent="0.3">
      <c r="A7">
        <v>6</v>
      </c>
      <c r="B7">
        <v>9013370</v>
      </c>
      <c r="C7" t="s">
        <v>10</v>
      </c>
      <c r="D7" t="s">
        <v>11</v>
      </c>
      <c r="E7">
        <v>4.7</v>
      </c>
      <c r="F7">
        <v>4.7</v>
      </c>
      <c r="G7">
        <f t="shared" si="0"/>
        <v>4.7</v>
      </c>
      <c r="H7">
        <v>3</v>
      </c>
      <c r="I7" s="3">
        <f t="shared" si="1"/>
        <v>3</v>
      </c>
      <c r="J7" s="3">
        <v>5</v>
      </c>
      <c r="K7" s="4">
        <f t="shared" si="2"/>
        <v>4.5666666666666664</v>
      </c>
    </row>
    <row r="8" spans="1:11" x14ac:dyDescent="0.3">
      <c r="A8">
        <v>7</v>
      </c>
      <c r="B8">
        <v>8986153</v>
      </c>
      <c r="C8" t="s">
        <v>12</v>
      </c>
      <c r="D8" t="s">
        <v>13</v>
      </c>
      <c r="E8">
        <v>4.5</v>
      </c>
      <c r="F8">
        <v>4.7</v>
      </c>
      <c r="G8">
        <f t="shared" si="0"/>
        <v>4.5999999999999996</v>
      </c>
      <c r="H8">
        <v>3</v>
      </c>
      <c r="I8" s="3">
        <f t="shared" si="1"/>
        <v>3</v>
      </c>
      <c r="J8" s="3">
        <v>5</v>
      </c>
      <c r="K8" s="4">
        <f t="shared" si="2"/>
        <v>4.5333333333333332</v>
      </c>
    </row>
    <row r="9" spans="1:11" x14ac:dyDescent="0.3">
      <c r="A9">
        <v>8</v>
      </c>
      <c r="B9">
        <v>8971525</v>
      </c>
      <c r="C9" t="s">
        <v>14</v>
      </c>
      <c r="D9" t="s">
        <v>15</v>
      </c>
      <c r="E9">
        <v>4</v>
      </c>
      <c r="F9">
        <v>5</v>
      </c>
      <c r="G9">
        <f t="shared" si="0"/>
        <v>4.5</v>
      </c>
      <c r="H9">
        <v>5</v>
      </c>
      <c r="I9" s="3">
        <f t="shared" si="1"/>
        <v>5</v>
      </c>
      <c r="J9" s="3">
        <v>5</v>
      </c>
      <c r="K9" s="4">
        <f t="shared" si="2"/>
        <v>4.8333333333333321</v>
      </c>
    </row>
    <row r="10" spans="1:11" x14ac:dyDescent="0.3">
      <c r="A10">
        <v>9</v>
      </c>
      <c r="B10">
        <v>8987332</v>
      </c>
      <c r="C10" t="s">
        <v>16</v>
      </c>
      <c r="D10" t="s">
        <v>17</v>
      </c>
      <c r="E10">
        <v>5</v>
      </c>
      <c r="F10">
        <v>4.7</v>
      </c>
      <c r="G10">
        <f t="shared" si="0"/>
        <v>4.8499999999999996</v>
      </c>
      <c r="H10">
        <v>3</v>
      </c>
      <c r="I10" s="3">
        <f t="shared" si="1"/>
        <v>3</v>
      </c>
      <c r="J10" s="3">
        <v>5</v>
      </c>
      <c r="K10" s="4">
        <f t="shared" si="2"/>
        <v>4.6166666666666654</v>
      </c>
    </row>
    <row r="11" spans="1:11" x14ac:dyDescent="0.3">
      <c r="A11">
        <v>10</v>
      </c>
      <c r="B11">
        <v>9013369</v>
      </c>
      <c r="C11" t="s">
        <v>18</v>
      </c>
      <c r="D11" t="s">
        <v>17</v>
      </c>
      <c r="E11">
        <v>4.7</v>
      </c>
      <c r="F11">
        <v>4.7</v>
      </c>
      <c r="G11">
        <f t="shared" si="0"/>
        <v>4.7</v>
      </c>
      <c r="H11">
        <v>5</v>
      </c>
      <c r="I11" s="3">
        <f t="shared" si="1"/>
        <v>5</v>
      </c>
      <c r="J11" s="3">
        <v>5</v>
      </c>
      <c r="K11" s="4">
        <f t="shared" si="2"/>
        <v>4.8999999999999995</v>
      </c>
    </row>
    <row r="12" spans="1:11" x14ac:dyDescent="0.3">
      <c r="A12">
        <v>11</v>
      </c>
      <c r="B12">
        <v>8978012</v>
      </c>
      <c r="C12" t="s">
        <v>19</v>
      </c>
      <c r="D12" t="s">
        <v>20</v>
      </c>
      <c r="E12">
        <v>4.7</v>
      </c>
      <c r="F12">
        <v>4.7</v>
      </c>
      <c r="G12">
        <f t="shared" si="0"/>
        <v>4.7</v>
      </c>
      <c r="H12">
        <v>4.5</v>
      </c>
      <c r="I12" s="3">
        <f t="shared" si="1"/>
        <v>4.5</v>
      </c>
      <c r="J12" s="3">
        <v>5</v>
      </c>
      <c r="K12" s="4">
        <f t="shared" si="2"/>
        <v>4.8166666666666664</v>
      </c>
    </row>
    <row r="13" spans="1:11" x14ac:dyDescent="0.3">
      <c r="A13">
        <v>12</v>
      </c>
      <c r="B13">
        <v>8991114</v>
      </c>
      <c r="C13" t="s">
        <v>21</v>
      </c>
      <c r="D13" t="s">
        <v>22</v>
      </c>
      <c r="E13">
        <v>5</v>
      </c>
      <c r="F13">
        <v>4.7</v>
      </c>
      <c r="G13">
        <f t="shared" si="0"/>
        <v>4.8499999999999996</v>
      </c>
      <c r="H13">
        <v>5</v>
      </c>
      <c r="I13" s="3">
        <f t="shared" si="1"/>
        <v>5</v>
      </c>
      <c r="J13" s="3">
        <v>5</v>
      </c>
      <c r="K13" s="4">
        <f t="shared" si="2"/>
        <v>4.9499999999999993</v>
      </c>
    </row>
    <row r="14" spans="1:11" x14ac:dyDescent="0.3">
      <c r="A14">
        <v>13</v>
      </c>
      <c r="B14">
        <v>8989851</v>
      </c>
      <c r="C14" t="s">
        <v>23</v>
      </c>
      <c r="D14" t="s">
        <v>24</v>
      </c>
      <c r="E14">
        <v>5</v>
      </c>
      <c r="F14">
        <v>4.7</v>
      </c>
      <c r="G14">
        <f t="shared" si="0"/>
        <v>4.8499999999999996</v>
      </c>
      <c r="H14">
        <v>0</v>
      </c>
      <c r="I14" s="3">
        <f t="shared" si="1"/>
        <v>0</v>
      </c>
      <c r="J14" s="3">
        <v>5</v>
      </c>
      <c r="K14" s="4">
        <f t="shared" si="2"/>
        <v>4.1166666666666663</v>
      </c>
    </row>
    <row r="15" spans="1:11" x14ac:dyDescent="0.3">
      <c r="A15">
        <v>14</v>
      </c>
      <c r="B15">
        <v>8988615</v>
      </c>
      <c r="C15" t="s">
        <v>25</v>
      </c>
      <c r="D15" t="s">
        <v>26</v>
      </c>
      <c r="E15">
        <v>5</v>
      </c>
      <c r="F15">
        <v>5</v>
      </c>
      <c r="G15">
        <f t="shared" si="0"/>
        <v>5</v>
      </c>
      <c r="H15">
        <v>5</v>
      </c>
      <c r="I15" s="3">
        <f t="shared" si="1"/>
        <v>5</v>
      </c>
      <c r="J15" s="3">
        <v>5</v>
      </c>
      <c r="K15" s="4">
        <f t="shared" si="2"/>
        <v>5</v>
      </c>
    </row>
    <row r="17" spans="12:16" x14ac:dyDescent="0.3">
      <c r="L17" s="1">
        <v>0.1</v>
      </c>
      <c r="M17" s="1">
        <v>0.05</v>
      </c>
      <c r="N17" s="1">
        <v>0.15</v>
      </c>
      <c r="O17" t="s">
        <v>31</v>
      </c>
      <c r="P17" s="1">
        <v>0.30000000000000004</v>
      </c>
    </row>
    <row r="18" spans="12:16" x14ac:dyDescent="0.3">
      <c r="L18" s="2">
        <v>0.33333333333333331</v>
      </c>
      <c r="M18" s="2">
        <v>0.16666666666666666</v>
      </c>
      <c r="N18" s="2">
        <v>0.49999999999999989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2026-03-13T22:57:08Z</dcterms:created>
  <dcterms:modified xsi:type="dcterms:W3CDTF">2026-03-14T01:22:57Z</dcterms:modified>
</cp:coreProperties>
</file>