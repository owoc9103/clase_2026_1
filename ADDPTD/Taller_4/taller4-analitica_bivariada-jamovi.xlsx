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EZ\UJaveriana\lectures\esplog-supply_chain_analytics\talleres\"/>
    </mc:Choice>
  </mc:AlternateContent>
  <xr:revisionPtr revIDLastSave="0" documentId="13_ncr:1_{D675EC87-1880-4888-A4E7-7C6D87B0DC37}" xr6:coauthVersionLast="47" xr6:coauthVersionMax="47" xr10:uidLastSave="{00000000-0000-0000-0000-000000000000}"/>
  <bookViews>
    <workbookView xWindow="-120" yWindow="-120" windowWidth="20730" windowHeight="11160" activeTab="1" xr2:uid="{7F41B034-B419-409E-9B35-6C478E29CDED}"/>
  </bookViews>
  <sheets>
    <sheet name="Hoja1 (2)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2" l="1" a="1"/>
  <c r="M3" i="2" s="1"/>
  <c r="M4" i="2" a="1"/>
  <c r="M4" i="2"/>
  <c r="M5" i="2" a="1"/>
  <c r="M5" i="2" s="1"/>
  <c r="M6" i="2" a="1"/>
  <c r="M6" i="2"/>
  <c r="M7" i="2" a="1"/>
  <c r="M7" i="2" s="1"/>
  <c r="M8" i="2" a="1"/>
  <c r="M8" i="2" s="1"/>
  <c r="M9" i="2" a="1"/>
  <c r="M9" i="2" s="1"/>
  <c r="M10" i="2" a="1"/>
  <c r="M10" i="2"/>
  <c r="M11" i="2" a="1"/>
  <c r="M11" i="2" s="1"/>
  <c r="M12" i="2" a="1"/>
  <c r="M12" i="2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/>
  <c r="M19" i="2" a="1"/>
  <c r="M19" i="2" s="1"/>
  <c r="M20" i="2" a="1"/>
  <c r="M20" i="2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/>
  <c r="M27" i="2" a="1"/>
  <c r="M27" i="2" s="1"/>
  <c r="M28" i="2" a="1"/>
  <c r="M28" i="2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/>
  <c r="M35" i="2" a="1"/>
  <c r="M35" i="2" s="1"/>
  <c r="M36" i="2" a="1"/>
  <c r="M36" i="2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/>
  <c r="M43" i="2" a="1"/>
  <c r="M43" i="2" s="1"/>
  <c r="M44" i="2" a="1"/>
  <c r="M44" i="2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/>
  <c r="M51" i="2" a="1"/>
  <c r="M51" i="2" s="1"/>
  <c r="M52" i="2" a="1"/>
  <c r="M52" i="2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/>
  <c r="M59" i="2" a="1"/>
  <c r="M59" i="2" s="1"/>
  <c r="M60" i="2" a="1"/>
  <c r="M60" i="2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/>
  <c r="M67" i="2" a="1"/>
  <c r="M67" i="2" s="1"/>
  <c r="M68" i="2" a="1"/>
  <c r="M68" i="2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/>
  <c r="M75" i="2" a="1"/>
  <c r="M75" i="2" s="1"/>
  <c r="M76" i="2" a="1"/>
  <c r="M76" i="2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/>
  <c r="M83" i="2" a="1"/>
  <c r="M83" i="2" s="1"/>
  <c r="M84" i="2" a="1"/>
  <c r="M84" i="2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/>
  <c r="M91" i="2" a="1"/>
  <c r="M91" i="2" s="1"/>
  <c r="M92" i="2" a="1"/>
  <c r="M92" i="2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/>
  <c r="M99" i="2" a="1"/>
  <c r="M99" i="2" s="1"/>
  <c r="M100" i="2" a="1"/>
  <c r="M100" i="2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/>
  <c r="M107" i="2" a="1"/>
  <c r="M107" i="2" s="1"/>
  <c r="M108" i="2" a="1"/>
  <c r="M108" i="2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/>
  <c r="M115" i="2" a="1"/>
  <c r="M115" i="2" s="1"/>
  <c r="M116" i="2" a="1"/>
  <c r="M116" i="2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/>
  <c r="M123" i="2" a="1"/>
  <c r="M123" i="2" s="1"/>
  <c r="M124" i="2" a="1"/>
  <c r="M124" i="2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/>
  <c r="M131" i="2" a="1"/>
  <c r="M131" i="2" s="1"/>
  <c r="M132" i="2" a="1"/>
  <c r="M132" i="2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/>
  <c r="M139" i="2" a="1"/>
  <c r="M139" i="2" s="1"/>
  <c r="M140" i="2" a="1"/>
  <c r="M140" i="2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/>
  <c r="M147" i="2" a="1"/>
  <c r="M147" i="2" s="1"/>
  <c r="M148" i="2" a="1"/>
  <c r="M148" i="2"/>
  <c r="M149" i="2" a="1"/>
  <c r="M149" i="2" s="1"/>
  <c r="M150" i="2" a="1"/>
  <c r="M150" i="2"/>
  <c r="M151" i="2" a="1"/>
  <c r="M151" i="2" s="1"/>
  <c r="M152" i="2" a="1"/>
  <c r="M152" i="2" s="1"/>
  <c r="M153" i="2" a="1"/>
  <c r="M153" i="2" s="1"/>
  <c r="M154" i="2" a="1"/>
  <c r="M154" i="2"/>
  <c r="M155" i="2" a="1"/>
  <c r="M155" i="2" s="1"/>
  <c r="M156" i="2" a="1"/>
  <c r="M156" i="2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/>
  <c r="M163" i="2" a="1"/>
  <c r="M163" i="2" s="1"/>
  <c r="M164" i="2" a="1"/>
  <c r="M164" i="2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/>
  <c r="M171" i="2" a="1"/>
  <c r="M171" i="2" s="1"/>
  <c r="M172" i="2" a="1"/>
  <c r="M172" i="2"/>
  <c r="M173" i="2" a="1"/>
  <c r="M173" i="2" s="1"/>
  <c r="M174" i="2" a="1"/>
  <c r="M174" i="2"/>
  <c r="M175" i="2" a="1"/>
  <c r="M175" i="2" s="1"/>
  <c r="M176" i="2" a="1"/>
  <c r="M176" i="2"/>
  <c r="M177" i="2" a="1"/>
  <c r="M177" i="2" s="1"/>
  <c r="M178" i="2" a="1"/>
  <c r="M178" i="2"/>
  <c r="M179" i="2" a="1"/>
  <c r="M179" i="2" s="1"/>
  <c r="M180" i="2" a="1"/>
  <c r="M180" i="2"/>
  <c r="M181" i="2" a="1"/>
  <c r="M181" i="2" s="1"/>
  <c r="M182" i="2" a="1"/>
  <c r="M182" i="2"/>
  <c r="M183" i="2" a="1"/>
  <c r="M183" i="2" s="1"/>
  <c r="M184" i="2" a="1"/>
  <c r="M184" i="2"/>
  <c r="M185" i="2" a="1"/>
  <c r="M185" i="2" s="1"/>
  <c r="M186" i="2" a="1"/>
  <c r="M186" i="2"/>
  <c r="M187" i="2" a="1"/>
  <c r="M187" i="2" s="1"/>
  <c r="M188" i="2" a="1"/>
  <c r="M188" i="2"/>
  <c r="M189" i="2" a="1"/>
  <c r="M189" i="2" s="1"/>
  <c r="M190" i="2" a="1"/>
  <c r="M190" i="2"/>
  <c r="M191" i="2" a="1"/>
  <c r="M191" i="2" s="1"/>
  <c r="M192" i="2" a="1"/>
  <c r="M192" i="2"/>
  <c r="M193" i="2" a="1"/>
  <c r="M193" i="2" s="1"/>
  <c r="M194" i="2" a="1"/>
  <c r="M194" i="2"/>
  <c r="M195" i="2" a="1"/>
  <c r="M195" i="2" s="1"/>
  <c r="M196" i="2" a="1"/>
  <c r="M196" i="2"/>
  <c r="M197" i="2" a="1"/>
  <c r="M197" i="2" s="1"/>
  <c r="M198" i="2" a="1"/>
  <c r="M198" i="2"/>
  <c r="M199" i="2" a="1"/>
  <c r="M199" i="2" s="1"/>
  <c r="M200" i="2" a="1"/>
  <c r="M200" i="2"/>
  <c r="M201" i="2" a="1"/>
  <c r="M201" i="2" s="1"/>
  <c r="M202" i="2" a="1"/>
  <c r="M202" i="2"/>
  <c r="M203" i="2" a="1"/>
  <c r="M203" i="2" s="1"/>
  <c r="M204" i="2" a="1"/>
  <c r="M204" i="2"/>
  <c r="M205" i="2" a="1"/>
  <c r="M205" i="2" s="1"/>
  <c r="M206" i="2" a="1"/>
  <c r="M206" i="2"/>
  <c r="M207" i="2" a="1"/>
  <c r="M207" i="2" s="1"/>
  <c r="M208" i="2" a="1"/>
  <c r="M208" i="2"/>
  <c r="M209" i="2" a="1"/>
  <c r="M209" i="2" s="1"/>
  <c r="M210" i="2" a="1"/>
  <c r="M210" i="2"/>
  <c r="M211" i="2" a="1"/>
  <c r="M211" i="2" s="1"/>
  <c r="M212" i="2" a="1"/>
  <c r="M212" i="2"/>
  <c r="M213" i="2" a="1"/>
  <c r="M213" i="2" s="1"/>
  <c r="M214" i="2" a="1"/>
  <c r="M214" i="2"/>
  <c r="M215" i="2" a="1"/>
  <c r="M215" i="2" s="1"/>
  <c r="M216" i="2" a="1"/>
  <c r="M216" i="2"/>
  <c r="M217" i="2" a="1"/>
  <c r="M217" i="2" s="1"/>
  <c r="M218" i="2" a="1"/>
  <c r="M218" i="2"/>
  <c r="M219" i="2" a="1"/>
  <c r="M219" i="2" s="1"/>
  <c r="M220" i="2" a="1"/>
  <c r="M220" i="2"/>
  <c r="M221" i="2" a="1"/>
  <c r="M221" i="2" s="1"/>
  <c r="M222" i="2" a="1"/>
  <c r="M222" i="2"/>
  <c r="M223" i="2" a="1"/>
  <c r="M223" i="2" s="1"/>
  <c r="M224" i="2" a="1"/>
  <c r="M224" i="2"/>
  <c r="M225" i="2" a="1"/>
  <c r="M225" i="2" s="1"/>
  <c r="M226" i="2" a="1"/>
  <c r="M226" i="2"/>
  <c r="M227" i="2" a="1"/>
  <c r="M227" i="2" s="1"/>
  <c r="M228" i="2" a="1"/>
  <c r="M228" i="2"/>
  <c r="M229" i="2" a="1"/>
  <c r="M229" i="2" s="1"/>
  <c r="M230" i="2" a="1"/>
  <c r="M230" i="2"/>
  <c r="M231" i="2" a="1"/>
  <c r="M231" i="2" s="1"/>
  <c r="M232" i="2" a="1"/>
  <c r="M232" i="2"/>
  <c r="M233" i="2" a="1"/>
  <c r="M233" i="2" s="1"/>
  <c r="M234" i="2" a="1"/>
  <c r="M234" i="2"/>
  <c r="M235" i="2" a="1"/>
  <c r="M235" i="2" s="1"/>
  <c r="M236" i="2" a="1"/>
  <c r="M236" i="2"/>
  <c r="M237" i="2" a="1"/>
  <c r="M237" i="2" s="1"/>
  <c r="M238" i="2" a="1"/>
  <c r="M238" i="2"/>
  <c r="M239" i="2" a="1"/>
  <c r="M239" i="2" s="1"/>
  <c r="M240" i="2" a="1"/>
  <c r="M240" i="2"/>
  <c r="M241" i="2" a="1"/>
  <c r="M241" i="2" s="1"/>
  <c r="M242" i="2" a="1"/>
  <c r="M242" i="2"/>
  <c r="M243" i="2" a="1"/>
  <c r="M243" i="2" s="1"/>
  <c r="M244" i="2" a="1"/>
  <c r="M244" i="2"/>
  <c r="M245" i="2" a="1"/>
  <c r="M245" i="2" s="1"/>
  <c r="M246" i="2" a="1"/>
  <c r="M246" i="2"/>
  <c r="M247" i="2" a="1"/>
  <c r="M247" i="2" s="1"/>
  <c r="M248" i="2" a="1"/>
  <c r="M248" i="2"/>
  <c r="M249" i="2" a="1"/>
  <c r="M249" i="2" s="1"/>
  <c r="M250" i="2" a="1"/>
  <c r="M250" i="2"/>
  <c r="M251" i="2" a="1"/>
  <c r="M251" i="2" s="1"/>
  <c r="M252" i="2" a="1"/>
  <c r="M252" i="2"/>
  <c r="M253" i="2" a="1"/>
  <c r="M253" i="2" s="1"/>
  <c r="M254" i="2" a="1"/>
  <c r="M254" i="2"/>
  <c r="M255" i="2" a="1"/>
  <c r="M255" i="2" s="1"/>
  <c r="M256" i="2" a="1"/>
  <c r="M256" i="2"/>
  <c r="M257" i="2" a="1"/>
  <c r="M257" i="2" s="1"/>
  <c r="M258" i="2" a="1"/>
  <c r="M258" i="2"/>
  <c r="M259" i="2" a="1"/>
  <c r="M259" i="2" s="1"/>
  <c r="M260" i="2" a="1"/>
  <c r="M260" i="2"/>
  <c r="M261" i="2" a="1"/>
  <c r="M261" i="2" s="1"/>
  <c r="M262" i="2" a="1"/>
  <c r="M262" i="2"/>
  <c r="M263" i="2" a="1"/>
  <c r="M263" i="2" s="1"/>
  <c r="M264" i="2" a="1"/>
  <c r="M264" i="2"/>
  <c r="M265" i="2" a="1"/>
  <c r="M265" i="2" s="1"/>
  <c r="M266" i="2" a="1"/>
  <c r="M266" i="2"/>
  <c r="M267" i="2" a="1"/>
  <c r="M267" i="2" s="1"/>
  <c r="M268" i="2" a="1"/>
  <c r="M268" i="2"/>
  <c r="M269" i="2" a="1"/>
  <c r="M269" i="2" s="1"/>
  <c r="M270" i="2" a="1"/>
  <c r="M270" i="2"/>
  <c r="M271" i="2" a="1"/>
  <c r="M271" i="2" s="1"/>
  <c r="M272" i="2" a="1"/>
  <c r="M272" i="2"/>
  <c r="M2" i="2" a="1"/>
  <c r="M2" i="2" s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N32" i="1"/>
  <c r="O32" i="1"/>
  <c r="P32" i="1"/>
  <c r="Q32" i="1"/>
  <c r="N33" i="1"/>
  <c r="O33" i="1"/>
  <c r="P33" i="1"/>
  <c r="Q33" i="1"/>
  <c r="N34" i="1"/>
  <c r="O34" i="1"/>
  <c r="P34" i="1"/>
  <c r="Q34" i="1"/>
  <c r="N35" i="1"/>
  <c r="O35" i="1"/>
  <c r="P35" i="1"/>
  <c r="Q35" i="1"/>
  <c r="N36" i="1"/>
  <c r="O36" i="1"/>
  <c r="P36" i="1"/>
  <c r="Q36" i="1"/>
  <c r="N37" i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O43" i="1"/>
  <c r="P43" i="1"/>
  <c r="Q43" i="1"/>
  <c r="N44" i="1"/>
  <c r="O44" i="1"/>
  <c r="P44" i="1"/>
  <c r="Q44" i="1"/>
  <c r="N45" i="1"/>
  <c r="O45" i="1"/>
  <c r="P45" i="1"/>
  <c r="Q45" i="1"/>
  <c r="N46" i="1"/>
  <c r="O46" i="1"/>
  <c r="P46" i="1"/>
  <c r="Q46" i="1"/>
  <c r="N47" i="1"/>
  <c r="O47" i="1"/>
  <c r="P47" i="1"/>
  <c r="Q47" i="1"/>
  <c r="N48" i="1"/>
  <c r="O48" i="1"/>
  <c r="P48" i="1"/>
  <c r="Q48" i="1"/>
  <c r="N49" i="1"/>
  <c r="O49" i="1"/>
  <c r="P49" i="1"/>
  <c r="Q49" i="1"/>
  <c r="N50" i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O54" i="1"/>
  <c r="P54" i="1"/>
  <c r="Q54" i="1"/>
  <c r="N55" i="1"/>
  <c r="O55" i="1"/>
  <c r="P55" i="1"/>
  <c r="Q55" i="1"/>
  <c r="N56" i="1"/>
  <c r="O56" i="1"/>
  <c r="P56" i="1"/>
  <c r="Q56" i="1"/>
  <c r="N57" i="1"/>
  <c r="O57" i="1"/>
  <c r="P57" i="1"/>
  <c r="Q57" i="1"/>
  <c r="N58" i="1"/>
  <c r="O58" i="1"/>
  <c r="P58" i="1"/>
  <c r="Q58" i="1"/>
  <c r="N59" i="1"/>
  <c r="O59" i="1"/>
  <c r="P59" i="1"/>
  <c r="Q59" i="1"/>
  <c r="N60" i="1"/>
  <c r="O60" i="1"/>
  <c r="P60" i="1"/>
  <c r="Q60" i="1"/>
  <c r="N61" i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N67" i="1"/>
  <c r="O67" i="1"/>
  <c r="P67" i="1"/>
  <c r="Q67" i="1"/>
  <c r="N68" i="1"/>
  <c r="O68" i="1"/>
  <c r="P68" i="1"/>
  <c r="Q68" i="1"/>
  <c r="N69" i="1"/>
  <c r="O69" i="1"/>
  <c r="P69" i="1"/>
  <c r="Q69" i="1"/>
  <c r="N70" i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O82" i="1"/>
  <c r="P82" i="1"/>
  <c r="Q82" i="1"/>
  <c r="N83" i="1"/>
  <c r="O83" i="1"/>
  <c r="P83" i="1"/>
  <c r="Q83" i="1"/>
  <c r="N84" i="1"/>
  <c r="O84" i="1"/>
  <c r="P84" i="1"/>
  <c r="Q84" i="1"/>
  <c r="N85" i="1"/>
  <c r="O85" i="1"/>
  <c r="P85" i="1"/>
  <c r="Q85" i="1"/>
  <c r="N86" i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O98" i="1"/>
  <c r="P98" i="1"/>
  <c r="Q98" i="1"/>
  <c r="N99" i="1"/>
  <c r="O99" i="1"/>
  <c r="P99" i="1"/>
  <c r="Q99" i="1"/>
  <c r="N100" i="1"/>
  <c r="O100" i="1"/>
  <c r="P100" i="1"/>
  <c r="Q100" i="1"/>
  <c r="N101" i="1"/>
  <c r="O101" i="1"/>
  <c r="P101" i="1"/>
  <c r="Q101" i="1"/>
  <c r="N102" i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O154" i="1"/>
  <c r="P154" i="1"/>
  <c r="Q154" i="1"/>
  <c r="N155" i="1"/>
  <c r="O155" i="1"/>
  <c r="P155" i="1"/>
  <c r="Q155" i="1"/>
  <c r="N156" i="1"/>
  <c r="O156" i="1"/>
  <c r="P156" i="1"/>
  <c r="Q156" i="1"/>
  <c r="N157" i="1"/>
  <c r="O157" i="1"/>
  <c r="P157" i="1"/>
  <c r="Q157" i="1"/>
  <c r="N158" i="1"/>
  <c r="O158" i="1"/>
  <c r="P158" i="1"/>
  <c r="Q158" i="1"/>
  <c r="N159" i="1"/>
  <c r="O159" i="1"/>
  <c r="P159" i="1"/>
  <c r="Q159" i="1"/>
  <c r="N160" i="1"/>
  <c r="O160" i="1"/>
  <c r="P160" i="1"/>
  <c r="Q160" i="1"/>
  <c r="N161" i="1"/>
  <c r="O161" i="1"/>
  <c r="P161" i="1"/>
  <c r="Q161" i="1"/>
  <c r="N162" i="1"/>
  <c r="O162" i="1"/>
  <c r="P162" i="1"/>
  <c r="Q162" i="1"/>
  <c r="N163" i="1"/>
  <c r="O163" i="1"/>
  <c r="P163" i="1"/>
  <c r="Q163" i="1"/>
  <c r="N164" i="1"/>
  <c r="O164" i="1"/>
  <c r="P164" i="1"/>
  <c r="Q164" i="1"/>
  <c r="N165" i="1"/>
  <c r="O165" i="1"/>
  <c r="P165" i="1"/>
  <c r="Q165" i="1"/>
  <c r="N166" i="1"/>
  <c r="O166" i="1"/>
  <c r="P166" i="1"/>
  <c r="Q166" i="1"/>
  <c r="N167" i="1"/>
  <c r="O167" i="1"/>
  <c r="P167" i="1"/>
  <c r="Q167" i="1"/>
  <c r="N168" i="1"/>
  <c r="O168" i="1"/>
  <c r="P168" i="1"/>
  <c r="Q168" i="1"/>
  <c r="N169" i="1"/>
  <c r="O169" i="1"/>
  <c r="P169" i="1"/>
  <c r="Q169" i="1"/>
  <c r="N170" i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N174" i="1"/>
  <c r="O174" i="1"/>
  <c r="P174" i="1"/>
  <c r="Q174" i="1"/>
  <c r="N175" i="1"/>
  <c r="O175" i="1"/>
  <c r="P175" i="1"/>
  <c r="Q175" i="1"/>
  <c r="N176" i="1"/>
  <c r="O176" i="1"/>
  <c r="P176" i="1"/>
  <c r="Q176" i="1"/>
  <c r="N177" i="1"/>
  <c r="O177" i="1"/>
  <c r="P177" i="1"/>
  <c r="Q177" i="1"/>
  <c r="N178" i="1"/>
  <c r="O178" i="1"/>
  <c r="P178" i="1"/>
  <c r="Q178" i="1"/>
  <c r="N179" i="1"/>
  <c r="O179" i="1"/>
  <c r="P179" i="1"/>
  <c r="Q179" i="1"/>
  <c r="N180" i="1"/>
  <c r="O180" i="1"/>
  <c r="P180" i="1"/>
  <c r="Q180" i="1"/>
  <c r="N181" i="1"/>
  <c r="O181" i="1"/>
  <c r="P181" i="1"/>
  <c r="Q181" i="1"/>
  <c r="N182" i="1"/>
  <c r="O182" i="1"/>
  <c r="P182" i="1"/>
  <c r="Q182" i="1"/>
  <c r="N183" i="1"/>
  <c r="O183" i="1"/>
  <c r="P183" i="1"/>
  <c r="Q183" i="1"/>
  <c r="N184" i="1"/>
  <c r="O184" i="1"/>
  <c r="P184" i="1"/>
  <c r="Q184" i="1"/>
  <c r="N185" i="1"/>
  <c r="O185" i="1"/>
  <c r="P185" i="1"/>
  <c r="Q185" i="1"/>
  <c r="N186" i="1"/>
  <c r="O186" i="1"/>
  <c r="P186" i="1"/>
  <c r="Q186" i="1"/>
  <c r="N187" i="1"/>
  <c r="O187" i="1"/>
  <c r="P187" i="1"/>
  <c r="Q187" i="1"/>
  <c r="N188" i="1"/>
  <c r="O188" i="1"/>
  <c r="P188" i="1"/>
  <c r="Q188" i="1"/>
  <c r="N189" i="1"/>
  <c r="O189" i="1"/>
  <c r="P189" i="1"/>
  <c r="Q189" i="1"/>
  <c r="N190" i="1"/>
  <c r="O190" i="1"/>
  <c r="P190" i="1"/>
  <c r="Q190" i="1"/>
  <c r="N191" i="1"/>
  <c r="O191" i="1"/>
  <c r="P191" i="1"/>
  <c r="Q191" i="1"/>
  <c r="N192" i="1"/>
  <c r="O192" i="1"/>
  <c r="P192" i="1"/>
  <c r="Q192" i="1"/>
  <c r="N193" i="1"/>
  <c r="O193" i="1"/>
  <c r="P193" i="1"/>
  <c r="Q193" i="1"/>
  <c r="N194" i="1"/>
  <c r="O194" i="1"/>
  <c r="P194" i="1"/>
  <c r="Q194" i="1"/>
  <c r="N195" i="1"/>
  <c r="O195" i="1"/>
  <c r="P195" i="1"/>
  <c r="Q195" i="1"/>
  <c r="N196" i="1"/>
  <c r="O196" i="1"/>
  <c r="P196" i="1"/>
  <c r="Q196" i="1"/>
  <c r="N197" i="1"/>
  <c r="O197" i="1"/>
  <c r="P197" i="1"/>
  <c r="Q197" i="1"/>
  <c r="N198" i="1"/>
  <c r="O198" i="1"/>
  <c r="P198" i="1"/>
  <c r="Q198" i="1"/>
  <c r="N199" i="1"/>
  <c r="O199" i="1"/>
  <c r="P199" i="1"/>
  <c r="Q199" i="1"/>
  <c r="N200" i="1"/>
  <c r="O200" i="1"/>
  <c r="P200" i="1"/>
  <c r="Q200" i="1"/>
  <c r="N201" i="1"/>
  <c r="O201" i="1"/>
  <c r="P201" i="1"/>
  <c r="Q201" i="1"/>
  <c r="N202" i="1"/>
  <c r="O202" i="1"/>
  <c r="P202" i="1"/>
  <c r="Q202" i="1"/>
  <c r="N203" i="1"/>
  <c r="O203" i="1"/>
  <c r="P203" i="1"/>
  <c r="Q203" i="1"/>
  <c r="N204" i="1"/>
  <c r="O204" i="1"/>
  <c r="P204" i="1"/>
  <c r="Q204" i="1"/>
  <c r="N205" i="1"/>
  <c r="O205" i="1"/>
  <c r="P205" i="1"/>
  <c r="Q205" i="1"/>
  <c r="N206" i="1"/>
  <c r="O206" i="1"/>
  <c r="P206" i="1"/>
  <c r="Q206" i="1"/>
  <c r="N207" i="1"/>
  <c r="O207" i="1"/>
  <c r="P207" i="1"/>
  <c r="Q207" i="1"/>
  <c r="N208" i="1"/>
  <c r="O208" i="1"/>
  <c r="P208" i="1"/>
  <c r="Q208" i="1"/>
  <c r="N209" i="1"/>
  <c r="O209" i="1"/>
  <c r="P209" i="1"/>
  <c r="Q209" i="1"/>
  <c r="N210" i="1"/>
  <c r="O210" i="1"/>
  <c r="P210" i="1"/>
  <c r="Q210" i="1"/>
  <c r="N211" i="1"/>
  <c r="O211" i="1"/>
  <c r="P211" i="1"/>
  <c r="Q211" i="1"/>
  <c r="N212" i="1"/>
  <c r="O212" i="1"/>
  <c r="P212" i="1"/>
  <c r="Q212" i="1"/>
  <c r="N213" i="1"/>
  <c r="O213" i="1"/>
  <c r="P213" i="1"/>
  <c r="Q213" i="1"/>
  <c r="N214" i="1"/>
  <c r="O214" i="1"/>
  <c r="P214" i="1"/>
  <c r="Q214" i="1"/>
  <c r="N215" i="1"/>
  <c r="O215" i="1"/>
  <c r="P215" i="1"/>
  <c r="Q215" i="1"/>
  <c r="N216" i="1"/>
  <c r="O216" i="1"/>
  <c r="P216" i="1"/>
  <c r="Q216" i="1"/>
  <c r="N217" i="1"/>
  <c r="O217" i="1"/>
  <c r="P217" i="1"/>
  <c r="Q217" i="1"/>
  <c r="N218" i="1"/>
  <c r="O218" i="1"/>
  <c r="P218" i="1"/>
  <c r="Q218" i="1"/>
  <c r="N219" i="1"/>
  <c r="O219" i="1"/>
  <c r="P219" i="1"/>
  <c r="Q219" i="1"/>
  <c r="N220" i="1"/>
  <c r="O220" i="1"/>
  <c r="P220" i="1"/>
  <c r="Q220" i="1"/>
  <c r="N221" i="1"/>
  <c r="O221" i="1"/>
  <c r="P221" i="1"/>
  <c r="Q221" i="1"/>
  <c r="N222" i="1"/>
  <c r="O222" i="1"/>
  <c r="P222" i="1"/>
  <c r="Q222" i="1"/>
  <c r="N223" i="1"/>
  <c r="O223" i="1"/>
  <c r="P223" i="1"/>
  <c r="Q223" i="1"/>
  <c r="N224" i="1"/>
  <c r="O224" i="1"/>
  <c r="P224" i="1"/>
  <c r="Q224" i="1"/>
  <c r="N225" i="1"/>
  <c r="O225" i="1"/>
  <c r="P225" i="1"/>
  <c r="Q225" i="1"/>
  <c r="N226" i="1"/>
  <c r="O226" i="1"/>
  <c r="P226" i="1"/>
  <c r="Q226" i="1"/>
  <c r="N227" i="1"/>
  <c r="O227" i="1"/>
  <c r="P227" i="1"/>
  <c r="Q227" i="1"/>
  <c r="N228" i="1"/>
  <c r="O228" i="1"/>
  <c r="P228" i="1"/>
  <c r="Q228" i="1"/>
  <c r="N229" i="1"/>
  <c r="O229" i="1"/>
  <c r="P229" i="1"/>
  <c r="Q229" i="1"/>
  <c r="N230" i="1"/>
  <c r="O230" i="1"/>
  <c r="P230" i="1"/>
  <c r="Q230" i="1"/>
  <c r="N231" i="1"/>
  <c r="O231" i="1"/>
  <c r="P231" i="1"/>
  <c r="Q231" i="1"/>
  <c r="N232" i="1"/>
  <c r="O232" i="1"/>
  <c r="P232" i="1"/>
  <c r="Q232" i="1"/>
  <c r="N233" i="1"/>
  <c r="O233" i="1"/>
  <c r="P233" i="1"/>
  <c r="Q233" i="1"/>
  <c r="N234" i="1"/>
  <c r="O234" i="1"/>
  <c r="P234" i="1"/>
  <c r="Q234" i="1"/>
  <c r="N235" i="1"/>
  <c r="O235" i="1"/>
  <c r="P235" i="1"/>
  <c r="Q235" i="1"/>
  <c r="N236" i="1"/>
  <c r="O236" i="1"/>
  <c r="P236" i="1"/>
  <c r="Q236" i="1"/>
  <c r="N237" i="1"/>
  <c r="O237" i="1"/>
  <c r="P237" i="1"/>
  <c r="Q237" i="1"/>
  <c r="N238" i="1"/>
  <c r="O238" i="1"/>
  <c r="P238" i="1"/>
  <c r="Q238" i="1"/>
  <c r="N239" i="1"/>
  <c r="O239" i="1"/>
  <c r="P239" i="1"/>
  <c r="Q239" i="1"/>
  <c r="N240" i="1"/>
  <c r="O240" i="1"/>
  <c r="P240" i="1"/>
  <c r="Q240" i="1"/>
  <c r="N241" i="1"/>
  <c r="O241" i="1"/>
  <c r="P241" i="1"/>
  <c r="Q241" i="1"/>
  <c r="N242" i="1"/>
  <c r="O242" i="1"/>
  <c r="P242" i="1"/>
  <c r="Q242" i="1"/>
  <c r="N243" i="1"/>
  <c r="O243" i="1"/>
  <c r="P243" i="1"/>
  <c r="Q243" i="1"/>
  <c r="N244" i="1"/>
  <c r="O244" i="1"/>
  <c r="P244" i="1"/>
  <c r="Q244" i="1"/>
  <c r="N245" i="1"/>
  <c r="O245" i="1"/>
  <c r="P245" i="1"/>
  <c r="Q245" i="1"/>
  <c r="N246" i="1"/>
  <c r="O246" i="1"/>
  <c r="P246" i="1"/>
  <c r="Q246" i="1"/>
  <c r="N247" i="1"/>
  <c r="O247" i="1"/>
  <c r="P247" i="1"/>
  <c r="Q247" i="1"/>
  <c r="N248" i="1"/>
  <c r="O248" i="1"/>
  <c r="P248" i="1"/>
  <c r="Q248" i="1"/>
  <c r="N249" i="1"/>
  <c r="O249" i="1"/>
  <c r="P249" i="1"/>
  <c r="Q249" i="1"/>
  <c r="N250" i="1"/>
  <c r="O250" i="1"/>
  <c r="P250" i="1"/>
  <c r="Q250" i="1"/>
  <c r="N251" i="1"/>
  <c r="O251" i="1"/>
  <c r="P251" i="1"/>
  <c r="Q251" i="1"/>
  <c r="N252" i="1"/>
  <c r="O252" i="1"/>
  <c r="P252" i="1"/>
  <c r="Q252" i="1"/>
  <c r="N253" i="1"/>
  <c r="O253" i="1"/>
  <c r="P253" i="1"/>
  <c r="Q253" i="1"/>
  <c r="N254" i="1"/>
  <c r="O254" i="1"/>
  <c r="P254" i="1"/>
  <c r="Q254" i="1"/>
  <c r="N255" i="1"/>
  <c r="O255" i="1"/>
  <c r="P255" i="1"/>
  <c r="Q255" i="1"/>
  <c r="N256" i="1"/>
  <c r="O256" i="1"/>
  <c r="P256" i="1"/>
  <c r="Q256" i="1"/>
  <c r="N257" i="1"/>
  <c r="O257" i="1"/>
  <c r="P257" i="1"/>
  <c r="Q257" i="1"/>
  <c r="N258" i="1"/>
  <c r="O258" i="1"/>
  <c r="P258" i="1"/>
  <c r="Q258" i="1"/>
  <c r="N259" i="1"/>
  <c r="O259" i="1"/>
  <c r="P259" i="1"/>
  <c r="Q259" i="1"/>
  <c r="N260" i="1"/>
  <c r="O260" i="1"/>
  <c r="P260" i="1"/>
  <c r="Q260" i="1"/>
  <c r="N261" i="1"/>
  <c r="O261" i="1"/>
  <c r="P261" i="1"/>
  <c r="Q261" i="1"/>
  <c r="N262" i="1"/>
  <c r="O262" i="1"/>
  <c r="P262" i="1"/>
  <c r="Q262" i="1"/>
  <c r="N263" i="1"/>
  <c r="O263" i="1"/>
  <c r="P263" i="1"/>
  <c r="Q263" i="1"/>
  <c r="N264" i="1"/>
  <c r="O264" i="1"/>
  <c r="P264" i="1"/>
  <c r="Q264" i="1"/>
  <c r="N265" i="1"/>
  <c r="O265" i="1"/>
  <c r="P265" i="1"/>
  <c r="Q265" i="1"/>
  <c r="N266" i="1"/>
  <c r="O266" i="1"/>
  <c r="P266" i="1"/>
  <c r="Q266" i="1"/>
  <c r="N267" i="1"/>
  <c r="O267" i="1"/>
  <c r="P267" i="1"/>
  <c r="Q267" i="1"/>
  <c r="N268" i="1"/>
  <c r="O268" i="1"/>
  <c r="P268" i="1"/>
  <c r="Q268" i="1"/>
  <c r="N269" i="1"/>
  <c r="O269" i="1"/>
  <c r="P269" i="1"/>
  <c r="Q269" i="1"/>
  <c r="N270" i="1"/>
  <c r="O270" i="1"/>
  <c r="P270" i="1"/>
  <c r="Q270" i="1"/>
  <c r="N271" i="1"/>
  <c r="O271" i="1"/>
  <c r="P271" i="1"/>
  <c r="Q271" i="1"/>
  <c r="N272" i="1"/>
  <c r="O272" i="1"/>
  <c r="P272" i="1"/>
  <c r="Q272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M4" i="1"/>
  <c r="M5" i="1"/>
  <c r="M6" i="1"/>
  <c r="M7" i="1"/>
  <c r="M8" i="1"/>
  <c r="M9" i="1"/>
  <c r="M10" i="1"/>
  <c r="M11" i="1"/>
  <c r="M3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<sst xmlns="http://schemas.openxmlformats.org/spreadsheetml/2006/main" count="6306" uniqueCount="434">
  <si>
    <t>Tiempo_entrega</t>
  </si>
  <si>
    <t>Costo_transporte</t>
  </si>
  <si>
    <t>Distancia_entrega</t>
  </si>
  <si>
    <t>Volumen_productos</t>
  </si>
  <si>
    <t>Peso_carga</t>
  </si>
  <si>
    <t>Tiempo_preparacion</t>
  </si>
  <si>
    <t>Tipo_transporte</t>
  </si>
  <si>
    <t>Zona_geografica</t>
  </si>
  <si>
    <t>Estado_pedido</t>
  </si>
  <si>
    <t>Modo_pago</t>
  </si>
  <si>
    <t>Tipo_producto</t>
  </si>
  <si>
    <t>Categoria_cliente</t>
  </si>
  <si>
    <t>94.25 horas</t>
  </si>
  <si>
    <t>4901.16</t>
  </si>
  <si>
    <t>1283.55 km</t>
  </si>
  <si>
    <t>14.00 m³</t>
  </si>
  <si>
    <t>801.42 kg</t>
  </si>
  <si>
    <t>66.76 minutos</t>
  </si>
  <si>
    <t>marítimo</t>
  </si>
  <si>
    <t>este</t>
  </si>
  <si>
    <t>pendiente</t>
  </si>
  <si>
    <t>prepago</t>
  </si>
  <si>
    <t>no perecedero</t>
  </si>
  <si>
    <t>minorista</t>
  </si>
  <si>
    <t>48.19 horas</t>
  </si>
  <si>
    <t>2488.46</t>
  </si>
  <si>
    <t>367.85 km</t>
  </si>
  <si>
    <t>8.93 m³</t>
  </si>
  <si>
    <t>631.62 kg</t>
  </si>
  <si>
    <t>114.29 minutos</t>
  </si>
  <si>
    <t>entregado</t>
  </si>
  <si>
    <t>efectivo</t>
  </si>
  <si>
    <t>perecedero</t>
  </si>
  <si>
    <t>mayorista</t>
  </si>
  <si>
    <t>75.03 horas</t>
  </si>
  <si>
    <t>1677.32</t>
  </si>
  <si>
    <t>694.61 km</t>
  </si>
  <si>
    <t>4.53 m³</t>
  </si>
  <si>
    <t>90.94 kg</t>
  </si>
  <si>
    <t>147.93 minutos</t>
  </si>
  <si>
    <t>aéreo</t>
  </si>
  <si>
    <t>oeste</t>
  </si>
  <si>
    <t>en tránsito</t>
  </si>
  <si>
    <t>103.62 horas</t>
  </si>
  <si>
    <t>3185.33</t>
  </si>
  <si>
    <t>1794.09 km</t>
  </si>
  <si>
    <t>6.12 m³</t>
  </si>
  <si>
    <t>874.84 kg</t>
  </si>
  <si>
    <t>187.39 minutos</t>
  </si>
  <si>
    <t>norte</t>
  </si>
  <si>
    <t>tarjeta</t>
  </si>
  <si>
    <t>113.99 horas</t>
  </si>
  <si>
    <t>1238.72</t>
  </si>
  <si>
    <t>950.55 km</t>
  </si>
  <si>
    <t>23.09 m³</t>
  </si>
  <si>
    <t>921.66 kg</t>
  </si>
  <si>
    <t>113.83 minutos</t>
  </si>
  <si>
    <t>18.50 horas</t>
  </si>
  <si>
    <t>425.52</t>
  </si>
  <si>
    <t>1336.78 km</t>
  </si>
  <si>
    <t>10.40 m³</t>
  </si>
  <si>
    <t>70.47 kg</t>
  </si>
  <si>
    <t>141.45 minutos</t>
  </si>
  <si>
    <t>terrestre</t>
  </si>
  <si>
    <t>111.26 horas</t>
  </si>
  <si>
    <t>687.95</t>
  </si>
  <si>
    <t>348.78 km</t>
  </si>
  <si>
    <t>18.28 m³</t>
  </si>
  <si>
    <t>284.11 kg</t>
  </si>
  <si>
    <t>225.50 minutos</t>
  </si>
  <si>
    <t>59.56 horas</t>
  </si>
  <si>
    <t>683.83</t>
  </si>
  <si>
    <t>388.62 km</t>
  </si>
  <si>
    <t>25.22 m³</t>
  </si>
  <si>
    <t>808.14 kg</t>
  </si>
  <si>
    <t>15.82 minutos</t>
  </si>
  <si>
    <t>sur</t>
  </si>
  <si>
    <t>31.73 horas</t>
  </si>
  <si>
    <t>801.92</t>
  </si>
  <si>
    <t>86.53 km</t>
  </si>
  <si>
    <t>34.55 m³</t>
  </si>
  <si>
    <t>750.78 kg</t>
  </si>
  <si>
    <t>79.47 minutos</t>
  </si>
  <si>
    <t>55.64 horas</t>
  </si>
  <si>
    <t>737.19</t>
  </si>
  <si>
    <t>342.03 km</t>
  </si>
  <si>
    <t>2.06 m³</t>
  </si>
  <si>
    <t>192.68 kg</t>
  </si>
  <si>
    <t>215.44 minutos</t>
  </si>
  <si>
    <t>71.07 horas</t>
  </si>
  <si>
    <t>2855.27</t>
  </si>
  <si>
    <t>658.66 km</t>
  </si>
  <si>
    <t>2.38 m³</t>
  </si>
  <si>
    <t>1164.43 kg</t>
  </si>
  <si>
    <t>237.84 minutos</t>
  </si>
  <si>
    <t>70.79 horas</t>
  </si>
  <si>
    <t>3124.96</t>
  </si>
  <si>
    <t>530.89 km</t>
  </si>
  <si>
    <t>73.97 m³</t>
  </si>
  <si>
    <t>1365.85 kg</t>
  </si>
  <si>
    <t>73.85 minutos</t>
  </si>
  <si>
    <t>12.61 horas</t>
  </si>
  <si>
    <t>4863.68</t>
  </si>
  <si>
    <t>247.05 km</t>
  </si>
  <si>
    <t>28.70 m³</t>
  </si>
  <si>
    <t>64.83 kg</t>
  </si>
  <si>
    <t>19.67 minutos</t>
  </si>
  <si>
    <t>17.22 horas</t>
  </si>
  <si>
    <t>1229.61</t>
  </si>
  <si>
    <t>1240.65 km</t>
  </si>
  <si>
    <t>86.44 m³</t>
  </si>
  <si>
    <t>1456.18 kg</t>
  </si>
  <si>
    <t>142.03 minutos</t>
  </si>
  <si>
    <t>66.19 horas</t>
  </si>
  <si>
    <t>3594.75</t>
  </si>
  <si>
    <t>720.39 km</t>
  </si>
  <si>
    <t>37.80 m³</t>
  </si>
  <si>
    <t>1097.66 kg</t>
  </si>
  <si>
    <t>37.53 minutos</t>
  </si>
  <si>
    <t>22.47 horas</t>
  </si>
  <si>
    <t>982.14</t>
  </si>
  <si>
    <t>1959.24 km</t>
  </si>
  <si>
    <t>19.19 m³</t>
  </si>
  <si>
    <t>1465.60 kg</t>
  </si>
  <si>
    <t>126.44 minutos</t>
  </si>
  <si>
    <t>56.32 horas</t>
  </si>
  <si>
    <t>1187.13</t>
  </si>
  <si>
    <t>1328.28 km</t>
  </si>
  <si>
    <t>92.45 m³</t>
  </si>
  <si>
    <t>1588.47 kg</t>
  </si>
  <si>
    <t>131.78 minutos</t>
  </si>
  <si>
    <t>69.64 horas</t>
  </si>
  <si>
    <t>1835.93</t>
  </si>
  <si>
    <t>1786.82 km</t>
  </si>
  <si>
    <t>14.77 m³</t>
  </si>
  <si>
    <t>493.68 kg</t>
  </si>
  <si>
    <t>101.25 minutos</t>
  </si>
  <si>
    <t>29.29 horas</t>
  </si>
  <si>
    <t>4216.17</t>
  </si>
  <si>
    <t>1900.56 km</t>
  </si>
  <si>
    <t>19.14 m³</t>
  </si>
  <si>
    <t>680.80 kg</t>
  </si>
  <si>
    <t>194.22 minutos</t>
  </si>
  <si>
    <t>118.72 horas</t>
  </si>
  <si>
    <t>834.56</t>
  </si>
  <si>
    <t>106.61 km</t>
  </si>
  <si>
    <t>6.26 m³</t>
  </si>
  <si>
    <t>1456.91 kg</t>
  </si>
  <si>
    <t>72.5 horas</t>
  </si>
  <si>
    <t>3200.75</t>
  </si>
  <si>
    <t>850 km</t>
  </si>
  <si>
    <t>12.5 m³</t>
  </si>
  <si>
    <t>1200 kg</t>
  </si>
  <si>
    <t>145 minutos</t>
  </si>
  <si>
    <t>48.3 horas</t>
  </si>
  <si>
    <t>1500.20</t>
  </si>
  <si>
    <t>600 km</t>
  </si>
  <si>
    <t>8.3 m³</t>
  </si>
  <si>
    <t>950 kg</t>
  </si>
  <si>
    <t>110 minutos</t>
  </si>
  <si>
    <t>96.1 horas</t>
  </si>
  <si>
    <t>4500.80</t>
  </si>
  <si>
    <t>1300 km</t>
  </si>
  <si>
    <t>15.7 m³</t>
  </si>
  <si>
    <t>1800 kg</t>
  </si>
  <si>
    <t>200 minutos</t>
  </si>
  <si>
    <t>24.7 horas</t>
  </si>
  <si>
    <t>800.50</t>
  </si>
  <si>
    <t>300 km</t>
  </si>
  <si>
    <t>5.4 m³</t>
  </si>
  <si>
    <t>500 kg</t>
  </si>
  <si>
    <t>75 minutos</t>
  </si>
  <si>
    <t>60.0 horas</t>
  </si>
  <si>
    <t>2500.35</t>
  </si>
  <si>
    <t>1000 km</t>
  </si>
  <si>
    <t>10.2 m³</t>
  </si>
  <si>
    <t>1500 kg</t>
  </si>
  <si>
    <t>130 minutos</t>
  </si>
  <si>
    <t>36.5 horas</t>
  </si>
  <si>
    <t>1800.65</t>
  </si>
  <si>
    <t>750 km</t>
  </si>
  <si>
    <t>7.5 m³</t>
  </si>
  <si>
    <t>800 kg</t>
  </si>
  <si>
    <t>90 minutos</t>
  </si>
  <si>
    <t>108.2 horas</t>
  </si>
  <si>
    <t>5000.90</t>
  </si>
  <si>
    <t>2000 km</t>
  </si>
  <si>
    <t>20.0 m³</t>
  </si>
  <si>
    <t>2000 kg</t>
  </si>
  <si>
    <t>220 minutos</t>
  </si>
  <si>
    <t>54.0 horas</t>
  </si>
  <si>
    <t>2300.40</t>
  </si>
  <si>
    <t>1200 km</t>
  </si>
  <si>
    <t>9.8 m³</t>
  </si>
  <si>
    <t>1100 kg</t>
  </si>
  <si>
    <t>140 minutos</t>
  </si>
  <si>
    <t>42.8 horas</t>
  </si>
  <si>
    <t>1700.15</t>
  </si>
  <si>
    <t>500 km</t>
  </si>
  <si>
    <t>6.3 m³</t>
  </si>
  <si>
    <t>600 kg</t>
  </si>
  <si>
    <t>100 minutos</t>
  </si>
  <si>
    <t>90.4 horas</t>
  </si>
  <si>
    <t>4000.30</t>
  </si>
  <si>
    <t>1500 km</t>
  </si>
  <si>
    <t>18.5 m³</t>
  </si>
  <si>
    <t>1750 kg</t>
  </si>
  <si>
    <t>190 minutos</t>
  </si>
  <si>
    <t>12.14 horas</t>
  </si>
  <si>
    <t>1640.15</t>
  </si>
  <si>
    <t>780.35 km</t>
  </si>
  <si>
    <t>4.14 m³</t>
  </si>
  <si>
    <t>158.90 kg</t>
  </si>
  <si>
    <t>45.39 minutos</t>
  </si>
  <si>
    <t>40.66 horas</t>
  </si>
  <si>
    <t>4257.85</t>
  </si>
  <si>
    <t>1903.89 km</t>
  </si>
  <si>
    <t>37.22 m³</t>
  </si>
  <si>
    <t>900.12 kg</t>
  </si>
  <si>
    <t>153.60 minutos</t>
  </si>
  <si>
    <t>34.68 horas</t>
  </si>
  <si>
    <t>3326.33</t>
  </si>
  <si>
    <t>1477.39 km</t>
  </si>
  <si>
    <t>25.83 m³</t>
  </si>
  <si>
    <t>743.11 kg</t>
  </si>
  <si>
    <t>19.97 minutos</t>
  </si>
  <si>
    <t>15.62 horas</t>
  </si>
  <si>
    <t>2589.17</t>
  </si>
  <si>
    <t>1217.38 km</t>
  </si>
  <si>
    <t>9.96 m³</t>
  </si>
  <si>
    <t>308.81 kg</t>
  </si>
  <si>
    <t>273.70 minutos</t>
  </si>
  <si>
    <t>4.51 horas</t>
  </si>
  <si>
    <t>754.57</t>
  </si>
  <si>
    <t>354.24 km</t>
  </si>
  <si>
    <t>2.74 m³</t>
  </si>
  <si>
    <t>92.20 kg</t>
  </si>
  <si>
    <t>85.05 minutos</t>
  </si>
  <si>
    <t>4.90 horas</t>
  </si>
  <si>
    <t>768.17</t>
  </si>
  <si>
    <t>354.19 km</t>
  </si>
  <si>
    <t>2.75 m³</t>
  </si>
  <si>
    <t>119.57 kg</t>
  </si>
  <si>
    <t>202.13 minutos</t>
  </si>
  <si>
    <t>3.13 horas</t>
  </si>
  <si>
    <t>346.82</t>
  </si>
  <si>
    <t>163.26 km</t>
  </si>
  <si>
    <t>1.56 m³</t>
  </si>
  <si>
    <t>40.58 kg</t>
  </si>
  <si>
    <t>100.40 minutos</t>
  </si>
  <si>
    <t>39.61 horas</t>
  </si>
  <si>
    <t>3874.58</t>
  </si>
  <si>
    <t>1739.04 km</t>
  </si>
  <si>
    <t>22.38 m³</t>
  </si>
  <si>
    <t>792.99 kg</t>
  </si>
  <si>
    <t>160.82 minutos</t>
  </si>
  <si>
    <t>18.14 horas</t>
  </si>
  <si>
    <t>2709.31</t>
  </si>
  <si>
    <t>1222.17 km</t>
  </si>
  <si>
    <t>14.03 m³</t>
  </si>
  <si>
    <t>529.93 kg</t>
  </si>
  <si>
    <t>168.55 minutos</t>
  </si>
  <si>
    <t>24.84 horas</t>
  </si>
  <si>
    <t>3004.86</t>
  </si>
  <si>
    <t>1430.74 km</t>
  </si>
  <si>
    <t>13.40 m³</t>
  </si>
  <si>
    <t>286.75 kg</t>
  </si>
  <si>
    <t>63.61 minutos</t>
  </si>
  <si>
    <t>94.25</t>
  </si>
  <si>
    <t>1283.55</t>
  </si>
  <si>
    <t>14.00</t>
  </si>
  <si>
    <t>801.42</t>
  </si>
  <si>
    <t>48.19</t>
  </si>
  <si>
    <t>367.85</t>
  </si>
  <si>
    <t>8.93</t>
  </si>
  <si>
    <t>631.62</t>
  </si>
  <si>
    <t>75.03</t>
  </si>
  <si>
    <t>694.61</t>
  </si>
  <si>
    <t>4.53</t>
  </si>
  <si>
    <t>90.94</t>
  </si>
  <si>
    <t>103.62</t>
  </si>
  <si>
    <t>1794.09</t>
  </si>
  <si>
    <t>6.12</t>
  </si>
  <si>
    <t>874.84</t>
  </si>
  <si>
    <t>113.99</t>
  </si>
  <si>
    <t>950.55</t>
  </si>
  <si>
    <t>23.09</t>
  </si>
  <si>
    <t>921.66</t>
  </si>
  <si>
    <t>18.50</t>
  </si>
  <si>
    <t>1336.78</t>
  </si>
  <si>
    <t>10.40</t>
  </si>
  <si>
    <t>70.47</t>
  </si>
  <si>
    <t>111.26</t>
  </si>
  <si>
    <t>348.78</t>
  </si>
  <si>
    <t>18.28</t>
  </si>
  <si>
    <t>284.11</t>
  </si>
  <si>
    <t>59.56</t>
  </si>
  <si>
    <t>388.62</t>
  </si>
  <si>
    <t>25.22</t>
  </si>
  <si>
    <t>808.14</t>
  </si>
  <si>
    <t>31.73</t>
  </si>
  <si>
    <t>86.53</t>
  </si>
  <si>
    <t>34.55</t>
  </si>
  <si>
    <t>750.78</t>
  </si>
  <si>
    <t>55.64</t>
  </si>
  <si>
    <t>342.03</t>
  </si>
  <si>
    <t>2.06</t>
  </si>
  <si>
    <t>192.68</t>
  </si>
  <si>
    <t>71.07</t>
  </si>
  <si>
    <t>658.66</t>
  </si>
  <si>
    <t>2.38</t>
  </si>
  <si>
    <t>1164.43</t>
  </si>
  <si>
    <t>70.79</t>
  </si>
  <si>
    <t>530.89</t>
  </si>
  <si>
    <t>73.97</t>
  </si>
  <si>
    <t>1365.85</t>
  </si>
  <si>
    <t>12.61</t>
  </si>
  <si>
    <t>247.05</t>
  </si>
  <si>
    <t>28.70</t>
  </si>
  <si>
    <t>64.83</t>
  </si>
  <si>
    <t>17.22</t>
  </si>
  <si>
    <t>1240.65</t>
  </si>
  <si>
    <t>86.44</t>
  </si>
  <si>
    <t>1456.18</t>
  </si>
  <si>
    <t>66.19</t>
  </si>
  <si>
    <t>720.39</t>
  </si>
  <si>
    <t>37.80</t>
  </si>
  <si>
    <t>1097.66</t>
  </si>
  <si>
    <t>22.47</t>
  </si>
  <si>
    <t>1959.24</t>
  </si>
  <si>
    <t>19.19</t>
  </si>
  <si>
    <t>1465.60</t>
  </si>
  <si>
    <t>56.32</t>
  </si>
  <si>
    <t>1328.28</t>
  </si>
  <si>
    <t>92.45</t>
  </si>
  <si>
    <t>1588.47</t>
  </si>
  <si>
    <t>69.64</t>
  </si>
  <si>
    <t>1786.82</t>
  </si>
  <si>
    <t>14.77</t>
  </si>
  <si>
    <t>493.68</t>
  </si>
  <si>
    <t>29.29</t>
  </si>
  <si>
    <t>1900.56</t>
  </si>
  <si>
    <t>19.14</t>
  </si>
  <si>
    <t>680.80</t>
  </si>
  <si>
    <t>118.72</t>
  </si>
  <si>
    <t>106.61</t>
  </si>
  <si>
    <t>6.26</t>
  </si>
  <si>
    <t>1456.91</t>
  </si>
  <si>
    <t>72.5</t>
  </si>
  <si>
    <t>850</t>
  </si>
  <si>
    <t>12.5</t>
  </si>
  <si>
    <t>1200</t>
  </si>
  <si>
    <t>145</t>
  </si>
  <si>
    <t>48.3</t>
  </si>
  <si>
    <t>600</t>
  </si>
  <si>
    <t>8.3</t>
  </si>
  <si>
    <t>950</t>
  </si>
  <si>
    <t>110</t>
  </si>
  <si>
    <t>96.1</t>
  </si>
  <si>
    <t>1300</t>
  </si>
  <si>
    <t>15.7</t>
  </si>
  <si>
    <t>1800</t>
  </si>
  <si>
    <t>200</t>
  </si>
  <si>
    <t>24.7</t>
  </si>
  <si>
    <t>300</t>
  </si>
  <si>
    <t>5.4</t>
  </si>
  <si>
    <t>500</t>
  </si>
  <si>
    <t>75</t>
  </si>
  <si>
    <t>60.0</t>
  </si>
  <si>
    <t>1000</t>
  </si>
  <si>
    <t>10.2</t>
  </si>
  <si>
    <t>1500</t>
  </si>
  <si>
    <t>130</t>
  </si>
  <si>
    <t>36.5</t>
  </si>
  <si>
    <t>750</t>
  </si>
  <si>
    <t>7.5</t>
  </si>
  <si>
    <t>800</t>
  </si>
  <si>
    <t>90</t>
  </si>
  <si>
    <t>108.2</t>
  </si>
  <si>
    <t>2000</t>
  </si>
  <si>
    <t>20.0</t>
  </si>
  <si>
    <t>220</t>
  </si>
  <si>
    <t>54.0</t>
  </si>
  <si>
    <t>9.8</t>
  </si>
  <si>
    <t>1100</t>
  </si>
  <si>
    <t>140</t>
  </si>
  <si>
    <t>42.8</t>
  </si>
  <si>
    <t>6.3</t>
  </si>
  <si>
    <t>100</t>
  </si>
  <si>
    <t>90.4</t>
  </si>
  <si>
    <t>18.5</t>
  </si>
  <si>
    <t>1750</t>
  </si>
  <si>
    <t>190</t>
  </si>
  <si>
    <t>12.14</t>
  </si>
  <si>
    <t>780.35</t>
  </si>
  <si>
    <t>4.14</t>
  </si>
  <si>
    <t>158.90</t>
  </si>
  <si>
    <t>40.66</t>
  </si>
  <si>
    <t>1903.89</t>
  </si>
  <si>
    <t>37.22</t>
  </si>
  <si>
    <t>900.12</t>
  </si>
  <si>
    <t>34.68</t>
  </si>
  <si>
    <t>1477.39</t>
  </si>
  <si>
    <t>25.83</t>
  </si>
  <si>
    <t>743.11</t>
  </si>
  <si>
    <t>15.62</t>
  </si>
  <si>
    <t>1217.38</t>
  </si>
  <si>
    <t>9.96</t>
  </si>
  <si>
    <t>308.81</t>
  </si>
  <si>
    <t>4.51</t>
  </si>
  <si>
    <t>354.24</t>
  </si>
  <si>
    <t>2.74</t>
  </si>
  <si>
    <t>92.20</t>
  </si>
  <si>
    <t>4.90</t>
  </si>
  <si>
    <t>354.19</t>
  </si>
  <si>
    <t>2.75</t>
  </si>
  <si>
    <t>119.57</t>
  </si>
  <si>
    <t>3.13</t>
  </si>
  <si>
    <t>163.26</t>
  </si>
  <si>
    <t>1.56</t>
  </si>
  <si>
    <t>40.58</t>
  </si>
  <si>
    <t>39.61</t>
  </si>
  <si>
    <t>1739.04</t>
  </si>
  <si>
    <t>22.38</t>
  </si>
  <si>
    <t>792.99</t>
  </si>
  <si>
    <t>18.14</t>
  </si>
  <si>
    <t>1222.17</t>
  </si>
  <si>
    <t>14.03</t>
  </si>
  <si>
    <t>529.93</t>
  </si>
  <si>
    <t>24.84</t>
  </si>
  <si>
    <t>1430.74</t>
  </si>
  <si>
    <t>13.40</t>
  </si>
  <si>
    <t>286.75</t>
  </si>
  <si>
    <t>Preparacion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</si>
</sst>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81ED-F038-43BA-BDF1-90FC99118DB4}">
  <dimension ref="A1:M272"/>
  <sheetViews>
    <sheetView topLeftCell="E1" zoomScale="130" zoomScaleNormal="130" workbookViewId="0">
      <selection activeCell="H1" sqref="H1"/>
    </sheetView>
  </sheetViews>
  <sheetFormatPr baseColWidth="10" defaultRowHeight="15" x14ac:dyDescent="0.25"/>
  <cols>
    <col min="1" max="1" width="16.42578125" bestFit="1" customWidth="1"/>
    <col min="2" max="2" width="15.140625" bestFit="1" customWidth="1"/>
    <col min="3" max="3" width="15.42578125" bestFit="1" customWidth="1"/>
    <col min="4" max="4" width="14.140625" bestFit="1" customWidth="1"/>
    <col min="5" max="5" width="11.5703125" bestFit="1" customWidth="1"/>
    <col min="6" max="6" width="14" bestFit="1" customWidth="1"/>
    <col min="7" max="7" width="16.7109375" bestFit="1" customWidth="1"/>
  </cols>
  <sheetData>
    <row r="1" spans="1:13" ht="30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0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433</v>
      </c>
    </row>
    <row r="2" spans="1:13" x14ac:dyDescent="0.25">
      <c r="A2" s="2" t="s">
        <v>13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t="s">
        <v>268</v>
      </c>
      <c r="I2" t="s">
        <v>269</v>
      </c>
      <c r="J2" t="s">
        <v>270</v>
      </c>
      <c r="K2" t="s">
        <v>271</v>
      </c>
      <c r="L2">
        <v>66.760000000000005</v>
      </c>
      <c r="M2" t="str" cm="1">
        <f t="array" ref="M2">_xlfn.IFS(L2&lt;=101,"15a101minutos",
AND(L2&gt;101,L2&lt;=188),"102a188minutos",L2&gt;188,"189a274minutos")</f>
        <v>15a101minutos</v>
      </c>
    </row>
    <row r="3" spans="1:13" x14ac:dyDescent="0.25">
      <c r="A3" s="2" t="s">
        <v>25</v>
      </c>
      <c r="B3" s="2" t="s">
        <v>18</v>
      </c>
      <c r="C3" s="2" t="s">
        <v>19</v>
      </c>
      <c r="D3" s="2" t="s">
        <v>30</v>
      </c>
      <c r="E3" s="2" t="s">
        <v>31</v>
      </c>
      <c r="F3" s="2" t="s">
        <v>32</v>
      </c>
      <c r="G3" s="2" t="s">
        <v>33</v>
      </c>
      <c r="H3" t="s">
        <v>272</v>
      </c>
      <c r="I3" t="s">
        <v>273</v>
      </c>
      <c r="J3" t="s">
        <v>274</v>
      </c>
      <c r="K3" t="s">
        <v>275</v>
      </c>
      <c r="L3">
        <v>114.29</v>
      </c>
      <c r="M3" t="str" cm="1">
        <f t="array" ref="M3">_xlfn.IFS(L3&lt;=101,"15a101minutos",
AND(L3&gt;101,L3&lt;=188),"102a188minutos",L3&gt;188,"189a274minutos")</f>
        <v>102a188minutos</v>
      </c>
    </row>
    <row r="4" spans="1:13" x14ac:dyDescent="0.25">
      <c r="A4" s="2" t="s">
        <v>35</v>
      </c>
      <c r="B4" s="2" t="s">
        <v>40</v>
      </c>
      <c r="C4" s="2" t="s">
        <v>41</v>
      </c>
      <c r="D4" s="2" t="s">
        <v>42</v>
      </c>
      <c r="E4" s="2" t="s">
        <v>31</v>
      </c>
      <c r="F4" s="2" t="s">
        <v>22</v>
      </c>
      <c r="G4" s="2" t="s">
        <v>23</v>
      </c>
      <c r="H4" t="s">
        <v>276</v>
      </c>
      <c r="I4" t="s">
        <v>277</v>
      </c>
      <c r="J4" t="s">
        <v>278</v>
      </c>
      <c r="K4" t="s">
        <v>279</v>
      </c>
      <c r="L4">
        <v>147.93</v>
      </c>
      <c r="M4" t="str" cm="1">
        <f t="array" ref="M4">_xlfn.IFS(L4&lt;=101,"15a101minutos",
AND(L4&gt;101,L4&lt;=188),"102a188minutos",L4&gt;188,"189a274minutos")</f>
        <v>102a188minutos</v>
      </c>
    </row>
    <row r="5" spans="1:13" x14ac:dyDescent="0.25">
      <c r="A5" s="2" t="s">
        <v>44</v>
      </c>
      <c r="B5" s="2" t="s">
        <v>18</v>
      </c>
      <c r="C5" s="2" t="s">
        <v>49</v>
      </c>
      <c r="D5" s="2" t="s">
        <v>42</v>
      </c>
      <c r="E5" s="2" t="s">
        <v>50</v>
      </c>
      <c r="F5" s="2" t="s">
        <v>32</v>
      </c>
      <c r="G5" s="2" t="s">
        <v>23</v>
      </c>
      <c r="H5" t="s">
        <v>280</v>
      </c>
      <c r="I5" t="s">
        <v>281</v>
      </c>
      <c r="J5" t="s">
        <v>282</v>
      </c>
      <c r="K5" t="s">
        <v>283</v>
      </c>
      <c r="L5">
        <v>187.39</v>
      </c>
      <c r="M5" t="str" cm="1">
        <f t="array" ref="M5">_xlfn.IFS(L5&lt;=101,"15a101minutos",
AND(L5&gt;101,L5&lt;=188),"102a188minutos",L5&gt;188,"189a274minutos")</f>
        <v>102a188minutos</v>
      </c>
    </row>
    <row r="6" spans="1:13" x14ac:dyDescent="0.25">
      <c r="A6" s="2" t="s">
        <v>52</v>
      </c>
      <c r="B6" s="2" t="s">
        <v>18</v>
      </c>
      <c r="C6" s="2" t="s">
        <v>19</v>
      </c>
      <c r="D6" s="2" t="s">
        <v>42</v>
      </c>
      <c r="E6" s="2" t="s">
        <v>21</v>
      </c>
      <c r="F6" s="2" t="s">
        <v>32</v>
      </c>
      <c r="G6" s="2" t="s">
        <v>33</v>
      </c>
      <c r="H6" t="s">
        <v>284</v>
      </c>
      <c r="I6" t="s">
        <v>285</v>
      </c>
      <c r="J6" t="s">
        <v>286</v>
      </c>
      <c r="K6" t="s">
        <v>287</v>
      </c>
      <c r="L6">
        <v>113.83</v>
      </c>
      <c r="M6" t="str" cm="1">
        <f t="array" ref="M6">_xlfn.IFS(L6&lt;=101,"15a101minutos",
AND(L6&gt;101,L6&lt;=188),"102a188minutos",L6&gt;188,"189a274minutos")</f>
        <v>102a188minutos</v>
      </c>
    </row>
    <row r="7" spans="1:13" x14ac:dyDescent="0.25">
      <c r="A7" s="2" t="s">
        <v>58</v>
      </c>
      <c r="B7" s="2" t="s">
        <v>63</v>
      </c>
      <c r="C7" s="2" t="s">
        <v>49</v>
      </c>
      <c r="D7" s="2" t="s">
        <v>20</v>
      </c>
      <c r="E7" s="2" t="s">
        <v>21</v>
      </c>
      <c r="F7" s="2" t="s">
        <v>22</v>
      </c>
      <c r="G7" s="2" t="s">
        <v>23</v>
      </c>
      <c r="H7" t="s">
        <v>288</v>
      </c>
      <c r="I7" t="s">
        <v>289</v>
      </c>
      <c r="J7" t="s">
        <v>290</v>
      </c>
      <c r="K7" t="s">
        <v>291</v>
      </c>
      <c r="L7">
        <v>141.44999999999999</v>
      </c>
      <c r="M7" t="str" cm="1">
        <f t="array" ref="M7">_xlfn.IFS(L7&lt;=101,"15a101minutos",
AND(L7&gt;101,L7&lt;=188),"102a188minutos",L7&gt;188,"189a274minutos")</f>
        <v>102a188minutos</v>
      </c>
    </row>
    <row r="8" spans="1:13" x14ac:dyDescent="0.25">
      <c r="A8" s="2" t="s">
        <v>65</v>
      </c>
      <c r="B8" s="2" t="s">
        <v>40</v>
      </c>
      <c r="C8" s="2" t="s">
        <v>41</v>
      </c>
      <c r="D8" s="2" t="s">
        <v>20</v>
      </c>
      <c r="E8" s="2" t="s">
        <v>50</v>
      </c>
      <c r="F8" s="2" t="s">
        <v>22</v>
      </c>
      <c r="G8" s="2" t="s">
        <v>23</v>
      </c>
      <c r="H8" t="s">
        <v>292</v>
      </c>
      <c r="I8" t="s">
        <v>293</v>
      </c>
      <c r="J8" t="s">
        <v>294</v>
      </c>
      <c r="K8" t="s">
        <v>295</v>
      </c>
      <c r="L8">
        <v>225.5</v>
      </c>
      <c r="M8" t="str" cm="1">
        <f t="array" ref="M8">_xlfn.IFS(L8&lt;=101,"15a101minutos",
AND(L8&gt;101,L8&lt;=188),"102a188minutos",L8&gt;188,"189a274minutos")</f>
        <v>189a274minutos</v>
      </c>
    </row>
    <row r="9" spans="1:13" x14ac:dyDescent="0.25">
      <c r="A9" s="2" t="s">
        <v>71</v>
      </c>
      <c r="B9" s="2" t="s">
        <v>40</v>
      </c>
      <c r="C9" s="2" t="s">
        <v>76</v>
      </c>
      <c r="D9" s="2" t="s">
        <v>20</v>
      </c>
      <c r="E9" s="2" t="s">
        <v>50</v>
      </c>
      <c r="F9" s="2" t="s">
        <v>22</v>
      </c>
      <c r="G9" s="2" t="s">
        <v>23</v>
      </c>
      <c r="H9" t="s">
        <v>296</v>
      </c>
      <c r="I9" t="s">
        <v>297</v>
      </c>
      <c r="J9" t="s">
        <v>298</v>
      </c>
      <c r="K9" t="s">
        <v>299</v>
      </c>
      <c r="L9">
        <v>15.82</v>
      </c>
      <c r="M9" t="str" cm="1">
        <f t="array" ref="M9">_xlfn.IFS(L9&lt;=101,"15a101minutos",
AND(L9&gt;101,L9&lt;=188),"102a188minutos",L9&gt;188,"189a274minutos")</f>
        <v>15a101minutos</v>
      </c>
    </row>
    <row r="10" spans="1:13" x14ac:dyDescent="0.25">
      <c r="A10" s="2" t="s">
        <v>78</v>
      </c>
      <c r="B10" s="2" t="s">
        <v>40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t="s">
        <v>300</v>
      </c>
      <c r="I10" t="s">
        <v>301</v>
      </c>
      <c r="J10" t="s">
        <v>302</v>
      </c>
      <c r="K10" t="s">
        <v>303</v>
      </c>
      <c r="L10">
        <v>79.47</v>
      </c>
      <c r="M10" t="str" cm="1">
        <f t="array" ref="M10">_xlfn.IFS(L10&lt;=101,"15a101minutos",
AND(L10&gt;101,L10&lt;=188),"102a188minutos",L10&gt;188,"189a274minutos")</f>
        <v>15a101minutos</v>
      </c>
    </row>
    <row r="11" spans="1:13" x14ac:dyDescent="0.25">
      <c r="A11" s="2" t="s">
        <v>84</v>
      </c>
      <c r="B11" s="2" t="s">
        <v>18</v>
      </c>
      <c r="C11" s="2" t="s">
        <v>49</v>
      </c>
      <c r="D11" s="2" t="s">
        <v>42</v>
      </c>
      <c r="E11" s="2" t="s">
        <v>31</v>
      </c>
      <c r="F11" s="2" t="s">
        <v>22</v>
      </c>
      <c r="G11" s="2" t="s">
        <v>33</v>
      </c>
      <c r="H11" t="s">
        <v>304</v>
      </c>
      <c r="I11" t="s">
        <v>305</v>
      </c>
      <c r="J11" t="s">
        <v>306</v>
      </c>
      <c r="K11" t="s">
        <v>307</v>
      </c>
      <c r="L11">
        <v>215.44</v>
      </c>
      <c r="M11" t="str" cm="1">
        <f t="array" ref="M11">_xlfn.IFS(L11&lt;=101,"15a101minutos",
AND(L11&gt;101,L11&lt;=188),"102a188minutos",L11&gt;188,"189a274minutos")</f>
        <v>189a274minutos</v>
      </c>
    </row>
    <row r="12" spans="1:13" x14ac:dyDescent="0.25">
      <c r="A12" s="2" t="s">
        <v>90</v>
      </c>
      <c r="B12" s="2" t="s">
        <v>63</v>
      </c>
      <c r="C12" s="2" t="s">
        <v>19</v>
      </c>
      <c r="D12" s="2" t="s">
        <v>30</v>
      </c>
      <c r="E12" s="2" t="s">
        <v>50</v>
      </c>
      <c r="F12" s="2" t="s">
        <v>32</v>
      </c>
      <c r="G12" s="2" t="s">
        <v>33</v>
      </c>
      <c r="H12" t="s">
        <v>308</v>
      </c>
      <c r="I12" t="s">
        <v>309</v>
      </c>
      <c r="J12" t="s">
        <v>310</v>
      </c>
      <c r="K12" t="s">
        <v>311</v>
      </c>
      <c r="L12">
        <v>237.84</v>
      </c>
      <c r="M12" t="str" cm="1">
        <f t="array" ref="M12">_xlfn.IFS(L12&lt;=101,"15a101minutos",
AND(L12&gt;101,L12&lt;=188),"102a188minutos",L12&gt;188,"189a274minutos")</f>
        <v>189a274minutos</v>
      </c>
    </row>
    <row r="13" spans="1:13" x14ac:dyDescent="0.25">
      <c r="A13" s="2" t="s">
        <v>96</v>
      </c>
      <c r="B13" s="2" t="s">
        <v>18</v>
      </c>
      <c r="C13" s="2" t="s">
        <v>76</v>
      </c>
      <c r="D13" s="2" t="s">
        <v>42</v>
      </c>
      <c r="E13" s="2" t="s">
        <v>21</v>
      </c>
      <c r="F13" s="2" t="s">
        <v>22</v>
      </c>
      <c r="G13" s="2" t="s">
        <v>33</v>
      </c>
      <c r="H13" t="s">
        <v>312</v>
      </c>
      <c r="I13" t="s">
        <v>313</v>
      </c>
      <c r="J13" t="s">
        <v>314</v>
      </c>
      <c r="K13" t="s">
        <v>315</v>
      </c>
      <c r="L13">
        <v>73.849999999999994</v>
      </c>
      <c r="M13" t="str" cm="1">
        <f t="array" ref="M13">_xlfn.IFS(L13&lt;=101,"15a101minutos",
AND(L13&gt;101,L13&lt;=188),"102a188minutos",L13&gt;188,"189a274minutos")</f>
        <v>15a101minutos</v>
      </c>
    </row>
    <row r="14" spans="1:13" x14ac:dyDescent="0.25">
      <c r="A14" s="2" t="s">
        <v>102</v>
      </c>
      <c r="B14" s="2" t="s">
        <v>18</v>
      </c>
      <c r="C14" s="2" t="s">
        <v>76</v>
      </c>
      <c r="D14" s="2" t="s">
        <v>30</v>
      </c>
      <c r="E14" s="2" t="s">
        <v>21</v>
      </c>
      <c r="F14" s="2" t="s">
        <v>32</v>
      </c>
      <c r="G14" s="2" t="s">
        <v>33</v>
      </c>
      <c r="H14" t="s">
        <v>316</v>
      </c>
      <c r="I14" t="s">
        <v>317</v>
      </c>
      <c r="J14" t="s">
        <v>318</v>
      </c>
      <c r="K14" t="s">
        <v>319</v>
      </c>
      <c r="L14">
        <v>19.670000000000002</v>
      </c>
      <c r="M14" t="str" cm="1">
        <f t="array" ref="M14">_xlfn.IFS(L14&lt;=101,"15a101minutos",
AND(L14&gt;101,L14&lt;=188),"102a188minutos",L14&gt;188,"189a274minutos")</f>
        <v>15a101minutos</v>
      </c>
    </row>
    <row r="15" spans="1:13" x14ac:dyDescent="0.25">
      <c r="A15" s="2" t="s">
        <v>108</v>
      </c>
      <c r="B15" s="2" t="s">
        <v>63</v>
      </c>
      <c r="C15" s="2" t="s">
        <v>49</v>
      </c>
      <c r="D15" s="2" t="s">
        <v>20</v>
      </c>
      <c r="E15" s="2" t="s">
        <v>21</v>
      </c>
      <c r="F15" s="2" t="s">
        <v>32</v>
      </c>
      <c r="G15" s="2" t="s">
        <v>33</v>
      </c>
      <c r="H15" t="s">
        <v>320</v>
      </c>
      <c r="I15" t="s">
        <v>321</v>
      </c>
      <c r="J15" t="s">
        <v>322</v>
      </c>
      <c r="K15" t="s">
        <v>323</v>
      </c>
      <c r="L15">
        <v>142.03</v>
      </c>
      <c r="M15" t="str" cm="1">
        <f t="array" ref="M15">_xlfn.IFS(L15&lt;=101,"15a101minutos",
AND(L15&gt;101,L15&lt;=188),"102a188minutos",L15&gt;188,"189a274minutos")</f>
        <v>102a188minutos</v>
      </c>
    </row>
    <row r="16" spans="1:13" x14ac:dyDescent="0.25">
      <c r="A16" s="2" t="s">
        <v>114</v>
      </c>
      <c r="B16" s="2" t="s">
        <v>63</v>
      </c>
      <c r="C16" s="2" t="s">
        <v>41</v>
      </c>
      <c r="D16" s="2" t="s">
        <v>20</v>
      </c>
      <c r="E16" s="2" t="s">
        <v>31</v>
      </c>
      <c r="F16" s="2" t="s">
        <v>32</v>
      </c>
      <c r="G16" s="2" t="s">
        <v>33</v>
      </c>
      <c r="H16" t="s">
        <v>324</v>
      </c>
      <c r="I16" t="s">
        <v>325</v>
      </c>
      <c r="J16" t="s">
        <v>326</v>
      </c>
      <c r="K16" t="s">
        <v>327</v>
      </c>
      <c r="L16">
        <v>37.53</v>
      </c>
      <c r="M16" t="str" cm="1">
        <f t="array" ref="M16">_xlfn.IFS(L16&lt;=101,"15a101minutos",
AND(L16&gt;101,L16&lt;=188),"102a188minutos",L16&gt;188,"189a274minutos")</f>
        <v>15a101minutos</v>
      </c>
    </row>
    <row r="17" spans="1:13" x14ac:dyDescent="0.25">
      <c r="A17" s="2" t="s">
        <v>120</v>
      </c>
      <c r="B17" s="2" t="s">
        <v>40</v>
      </c>
      <c r="C17" s="2" t="s">
        <v>76</v>
      </c>
      <c r="D17" s="2" t="s">
        <v>42</v>
      </c>
      <c r="E17" s="2" t="s">
        <v>50</v>
      </c>
      <c r="F17" s="2" t="s">
        <v>32</v>
      </c>
      <c r="G17" s="2" t="s">
        <v>33</v>
      </c>
      <c r="H17" t="s">
        <v>328</v>
      </c>
      <c r="I17" t="s">
        <v>329</v>
      </c>
      <c r="J17" t="s">
        <v>330</v>
      </c>
      <c r="K17" t="s">
        <v>331</v>
      </c>
      <c r="L17">
        <v>126.44</v>
      </c>
      <c r="M17" t="str" cm="1">
        <f t="array" ref="M17">_xlfn.IFS(L17&lt;=101,"15a101minutos",
AND(L17&gt;101,L17&lt;=188),"102a188minutos",L17&gt;188,"189a274minutos")</f>
        <v>102a188minutos</v>
      </c>
    </row>
    <row r="18" spans="1:13" x14ac:dyDescent="0.25">
      <c r="A18" s="2" t="s">
        <v>126</v>
      </c>
      <c r="B18" s="2" t="s">
        <v>63</v>
      </c>
      <c r="C18" s="2" t="s">
        <v>41</v>
      </c>
      <c r="D18" s="2" t="s">
        <v>20</v>
      </c>
      <c r="E18" s="2" t="s">
        <v>21</v>
      </c>
      <c r="F18" s="2" t="s">
        <v>22</v>
      </c>
      <c r="G18" s="2" t="s">
        <v>23</v>
      </c>
      <c r="H18" t="s">
        <v>332</v>
      </c>
      <c r="I18" t="s">
        <v>333</v>
      </c>
      <c r="J18" t="s">
        <v>334</v>
      </c>
      <c r="K18" t="s">
        <v>335</v>
      </c>
      <c r="L18">
        <v>131.78</v>
      </c>
      <c r="M18" t="str" cm="1">
        <f t="array" ref="M18">_xlfn.IFS(L18&lt;=101,"15a101minutos",
AND(L18&gt;101,L18&lt;=188),"102a188minutos",L18&gt;188,"189a274minutos")</f>
        <v>102a188minutos</v>
      </c>
    </row>
    <row r="19" spans="1:13" x14ac:dyDescent="0.25">
      <c r="A19" s="2" t="s">
        <v>132</v>
      </c>
      <c r="B19" s="2" t="s">
        <v>40</v>
      </c>
      <c r="C19" s="2" t="s">
        <v>49</v>
      </c>
      <c r="D19" s="2" t="s">
        <v>20</v>
      </c>
      <c r="E19" s="2" t="s">
        <v>31</v>
      </c>
      <c r="F19" s="2" t="s">
        <v>22</v>
      </c>
      <c r="G19" s="2" t="s">
        <v>23</v>
      </c>
      <c r="H19" t="s">
        <v>336</v>
      </c>
      <c r="I19" t="s">
        <v>337</v>
      </c>
      <c r="J19" t="s">
        <v>338</v>
      </c>
      <c r="K19" t="s">
        <v>339</v>
      </c>
      <c r="L19">
        <v>101.25</v>
      </c>
      <c r="M19" t="str" cm="1">
        <f t="array" ref="M19">_xlfn.IFS(L19&lt;=101,"15a101minutos",
AND(L19&gt;101,L19&lt;=188),"102a188minutos",L19&gt;188,"189a274minutos")</f>
        <v>102a188minutos</v>
      </c>
    </row>
    <row r="20" spans="1:13" x14ac:dyDescent="0.25">
      <c r="A20" s="2" t="s">
        <v>138</v>
      </c>
      <c r="B20" s="2" t="s">
        <v>63</v>
      </c>
      <c r="C20" s="2" t="s">
        <v>19</v>
      </c>
      <c r="D20" s="2" t="s">
        <v>20</v>
      </c>
      <c r="E20" s="2" t="s">
        <v>50</v>
      </c>
      <c r="F20" s="2" t="s">
        <v>22</v>
      </c>
      <c r="G20" s="2" t="s">
        <v>23</v>
      </c>
      <c r="H20" t="s">
        <v>340</v>
      </c>
      <c r="I20" t="s">
        <v>341</v>
      </c>
      <c r="J20" t="s">
        <v>342</v>
      </c>
      <c r="K20" t="s">
        <v>343</v>
      </c>
      <c r="L20">
        <v>194.22</v>
      </c>
      <c r="M20" t="str" cm="1">
        <f t="array" ref="M20">_xlfn.IFS(L20&lt;=101,"15a101minutos",
AND(L20&gt;101,L20&lt;=188),"102a188minutos",L20&gt;188,"189a274minutos")</f>
        <v>189a274minutos</v>
      </c>
    </row>
    <row r="21" spans="1:13" x14ac:dyDescent="0.25">
      <c r="A21" s="2" t="s">
        <v>144</v>
      </c>
      <c r="B21" s="2" t="s">
        <v>18</v>
      </c>
      <c r="C21" s="2" t="s">
        <v>76</v>
      </c>
      <c r="D21" s="2" t="s">
        <v>30</v>
      </c>
      <c r="E21" s="2" t="s">
        <v>21</v>
      </c>
      <c r="F21" s="2" t="s">
        <v>22</v>
      </c>
      <c r="G21" s="2" t="s">
        <v>23</v>
      </c>
      <c r="H21" t="s">
        <v>344</v>
      </c>
      <c r="I21" t="s">
        <v>345</v>
      </c>
      <c r="J21" t="s">
        <v>346</v>
      </c>
      <c r="K21" t="s">
        <v>347</v>
      </c>
      <c r="L21">
        <v>79.47</v>
      </c>
      <c r="M21" t="str" cm="1">
        <f t="array" ref="M21">_xlfn.IFS(L21&lt;=101,"15a101minutos",
AND(L21&gt;101,L21&lt;=188),"102a188minutos",L21&gt;188,"189a274minutos")</f>
        <v>15a101minutos</v>
      </c>
    </row>
    <row r="22" spans="1:13" x14ac:dyDescent="0.25">
      <c r="A22" s="2" t="s">
        <v>149</v>
      </c>
      <c r="B22" s="2" t="s">
        <v>63</v>
      </c>
      <c r="C22" s="2" t="s">
        <v>49</v>
      </c>
      <c r="D22" s="2" t="s">
        <v>30</v>
      </c>
      <c r="E22" s="2" t="s">
        <v>50</v>
      </c>
      <c r="F22" s="2" t="s">
        <v>32</v>
      </c>
      <c r="G22" s="2" t="s">
        <v>33</v>
      </c>
      <c r="H22" t="s">
        <v>348</v>
      </c>
      <c r="I22" t="s">
        <v>349</v>
      </c>
      <c r="J22" t="s">
        <v>350</v>
      </c>
      <c r="K22" t="s">
        <v>351</v>
      </c>
      <c r="L22" t="s">
        <v>352</v>
      </c>
      <c r="M22" t="str" cm="1">
        <f t="array" ref="M22">_xlfn.IFS(L22&lt;=101,"15a101minutos",
AND(L22&gt;101,L22&lt;=188),"102a188minutos",L22&gt;188,"189a274minutos")</f>
        <v>189a274minutos</v>
      </c>
    </row>
    <row r="23" spans="1:13" x14ac:dyDescent="0.25">
      <c r="A23" s="2" t="s">
        <v>155</v>
      </c>
      <c r="B23" s="2" t="s">
        <v>18</v>
      </c>
      <c r="C23" s="2" t="s">
        <v>76</v>
      </c>
      <c r="D23" s="2" t="s">
        <v>20</v>
      </c>
      <c r="E23" s="2" t="s">
        <v>21</v>
      </c>
      <c r="F23" s="2" t="s">
        <v>22</v>
      </c>
      <c r="G23" s="2" t="s">
        <v>23</v>
      </c>
      <c r="H23" t="s">
        <v>353</v>
      </c>
      <c r="I23" t="s">
        <v>354</v>
      </c>
      <c r="J23" t="s">
        <v>355</v>
      </c>
      <c r="K23" t="s">
        <v>356</v>
      </c>
      <c r="L23" t="s">
        <v>357</v>
      </c>
      <c r="M23" t="str" cm="1">
        <f t="array" ref="M23">_xlfn.IFS(L23&lt;=101,"15a101minutos",
AND(L23&gt;101,L23&lt;=188),"102a188minutos",L23&gt;188,"189a274minutos")</f>
        <v>189a274minutos</v>
      </c>
    </row>
    <row r="24" spans="1:13" x14ac:dyDescent="0.25">
      <c r="A24" s="2" t="s">
        <v>161</v>
      </c>
      <c r="B24" s="2" t="s">
        <v>40</v>
      </c>
      <c r="C24" s="2" t="s">
        <v>19</v>
      </c>
      <c r="D24" s="2" t="s">
        <v>42</v>
      </c>
      <c r="E24" s="2" t="s">
        <v>31</v>
      </c>
      <c r="F24" s="2" t="s">
        <v>32</v>
      </c>
      <c r="G24" s="2" t="s">
        <v>33</v>
      </c>
      <c r="H24" t="s">
        <v>358</v>
      </c>
      <c r="I24" t="s">
        <v>359</v>
      </c>
      <c r="J24" t="s">
        <v>360</v>
      </c>
      <c r="K24" t="s">
        <v>361</v>
      </c>
      <c r="L24" t="s">
        <v>362</v>
      </c>
      <c r="M24" t="str" cm="1">
        <f t="array" ref="M24">_xlfn.IFS(L24&lt;=101,"15a101minutos",
AND(L24&gt;101,L24&lt;=188),"102a188minutos",L24&gt;188,"189a274minutos")</f>
        <v>189a274minutos</v>
      </c>
    </row>
    <row r="25" spans="1:13" x14ac:dyDescent="0.25">
      <c r="A25" s="2" t="s">
        <v>167</v>
      </c>
      <c r="B25" s="2" t="s">
        <v>63</v>
      </c>
      <c r="C25" s="2" t="s">
        <v>41</v>
      </c>
      <c r="D25" s="2" t="s">
        <v>30</v>
      </c>
      <c r="E25" s="2" t="s">
        <v>50</v>
      </c>
      <c r="F25" s="2" t="s">
        <v>32</v>
      </c>
      <c r="G25" s="2" t="s">
        <v>23</v>
      </c>
      <c r="H25" t="s">
        <v>363</v>
      </c>
      <c r="I25" t="s">
        <v>364</v>
      </c>
      <c r="J25" t="s">
        <v>365</v>
      </c>
      <c r="K25" t="s">
        <v>366</v>
      </c>
      <c r="L25" t="s">
        <v>367</v>
      </c>
      <c r="M25" t="str" cm="1">
        <f t="array" ref="M25">_xlfn.IFS(L25&lt;=101,"15a101minutos",
AND(L25&gt;101,L25&lt;=188),"102a188minutos",L25&gt;188,"189a274minutos")</f>
        <v>189a274minutos</v>
      </c>
    </row>
    <row r="26" spans="1:13" x14ac:dyDescent="0.25">
      <c r="A26" s="2" t="s">
        <v>173</v>
      </c>
      <c r="B26" s="2" t="s">
        <v>18</v>
      </c>
      <c r="C26" s="2" t="s">
        <v>49</v>
      </c>
      <c r="D26" s="2" t="s">
        <v>42</v>
      </c>
      <c r="E26" s="2" t="s">
        <v>21</v>
      </c>
      <c r="F26" s="2" t="s">
        <v>22</v>
      </c>
      <c r="G26" s="2" t="s">
        <v>33</v>
      </c>
      <c r="H26" t="s">
        <v>368</v>
      </c>
      <c r="I26" t="s">
        <v>369</v>
      </c>
      <c r="J26" t="s">
        <v>370</v>
      </c>
      <c r="K26" t="s">
        <v>371</v>
      </c>
      <c r="L26" t="s">
        <v>372</v>
      </c>
      <c r="M26" t="str" cm="1">
        <f t="array" ref="M26">_xlfn.IFS(L26&lt;=101,"15a101minutos",
AND(L26&gt;101,L26&lt;=188),"102a188minutos",L26&gt;188,"189a274minutos")</f>
        <v>189a274minutos</v>
      </c>
    </row>
    <row r="27" spans="1:13" x14ac:dyDescent="0.25">
      <c r="A27" s="2" t="s">
        <v>179</v>
      </c>
      <c r="B27" s="2" t="s">
        <v>40</v>
      </c>
      <c r="C27" s="2" t="s">
        <v>76</v>
      </c>
      <c r="D27" s="2" t="s">
        <v>20</v>
      </c>
      <c r="E27" s="2" t="s">
        <v>31</v>
      </c>
      <c r="F27" s="2" t="s">
        <v>32</v>
      </c>
      <c r="G27" s="2" t="s">
        <v>23</v>
      </c>
      <c r="H27" t="s">
        <v>373</v>
      </c>
      <c r="I27" t="s">
        <v>374</v>
      </c>
      <c r="J27" t="s">
        <v>375</v>
      </c>
      <c r="K27" t="s">
        <v>376</v>
      </c>
      <c r="L27" t="s">
        <v>377</v>
      </c>
      <c r="M27" t="str" cm="1">
        <f t="array" ref="M27">_xlfn.IFS(L27&lt;=101,"15a101minutos",
AND(L27&gt;101,L27&lt;=188),"102a188minutos",L27&gt;188,"189a274minutos")</f>
        <v>189a274minutos</v>
      </c>
    </row>
    <row r="28" spans="1:13" x14ac:dyDescent="0.25">
      <c r="A28" s="2" t="s">
        <v>185</v>
      </c>
      <c r="B28" s="2" t="s">
        <v>63</v>
      </c>
      <c r="C28" s="2" t="s">
        <v>19</v>
      </c>
      <c r="D28" s="2" t="s">
        <v>30</v>
      </c>
      <c r="E28" s="2" t="s">
        <v>50</v>
      </c>
      <c r="F28" s="2" t="s">
        <v>32</v>
      </c>
      <c r="G28" s="2" t="s">
        <v>33</v>
      </c>
      <c r="H28" t="s">
        <v>378</v>
      </c>
      <c r="I28" t="s">
        <v>379</v>
      </c>
      <c r="J28" t="s">
        <v>380</v>
      </c>
      <c r="K28" t="s">
        <v>379</v>
      </c>
      <c r="L28" t="s">
        <v>381</v>
      </c>
      <c r="M28" t="str" cm="1">
        <f t="array" ref="M28">_xlfn.IFS(L28&lt;=101,"15a101minutos",
AND(L28&gt;101,L28&lt;=188),"102a188minutos",L28&gt;188,"189a274minutos")</f>
        <v>189a274minutos</v>
      </c>
    </row>
    <row r="29" spans="1:13" x14ac:dyDescent="0.25">
      <c r="A29" s="2" t="s">
        <v>191</v>
      </c>
      <c r="B29" s="2" t="s">
        <v>18</v>
      </c>
      <c r="C29" s="2" t="s">
        <v>41</v>
      </c>
      <c r="D29" s="2" t="s">
        <v>42</v>
      </c>
      <c r="E29" s="2" t="s">
        <v>21</v>
      </c>
      <c r="F29" s="2" t="s">
        <v>22</v>
      </c>
      <c r="G29" s="2" t="s">
        <v>23</v>
      </c>
      <c r="H29" t="s">
        <v>382</v>
      </c>
      <c r="I29" t="s">
        <v>351</v>
      </c>
      <c r="J29" t="s">
        <v>383</v>
      </c>
      <c r="K29" t="s">
        <v>384</v>
      </c>
      <c r="L29" t="s">
        <v>385</v>
      </c>
      <c r="M29" t="str" cm="1">
        <f t="array" ref="M29">_xlfn.IFS(L29&lt;=101,"15a101minutos",
AND(L29&gt;101,L29&lt;=188),"102a188minutos",L29&gt;188,"189a274minutos")</f>
        <v>189a274minutos</v>
      </c>
    </row>
    <row r="30" spans="1:13" x14ac:dyDescent="0.25">
      <c r="A30" s="2" t="s">
        <v>197</v>
      </c>
      <c r="B30" s="2" t="s">
        <v>40</v>
      </c>
      <c r="C30" s="2" t="s">
        <v>49</v>
      </c>
      <c r="D30" s="2" t="s">
        <v>20</v>
      </c>
      <c r="E30" s="2" t="s">
        <v>31</v>
      </c>
      <c r="F30" s="2" t="s">
        <v>32</v>
      </c>
      <c r="G30" s="2" t="s">
        <v>23</v>
      </c>
      <c r="H30" t="s">
        <v>386</v>
      </c>
      <c r="I30" t="s">
        <v>366</v>
      </c>
      <c r="J30" t="s">
        <v>387</v>
      </c>
      <c r="K30" t="s">
        <v>354</v>
      </c>
      <c r="L30" t="s">
        <v>388</v>
      </c>
      <c r="M30" t="str" cm="1">
        <f t="array" ref="M30">_xlfn.IFS(L30&lt;=101,"15a101minutos",
AND(L30&gt;101,L30&lt;=188),"102a188minutos",L30&gt;188,"189a274minutos")</f>
        <v>189a274minutos</v>
      </c>
    </row>
    <row r="31" spans="1:13" x14ac:dyDescent="0.25">
      <c r="A31" s="2" t="s">
        <v>203</v>
      </c>
      <c r="B31" s="2" t="s">
        <v>63</v>
      </c>
      <c r="C31" s="2" t="s">
        <v>76</v>
      </c>
      <c r="D31" s="2" t="s">
        <v>30</v>
      </c>
      <c r="E31" s="2" t="s">
        <v>50</v>
      </c>
      <c r="F31" s="2" t="s">
        <v>32</v>
      </c>
      <c r="G31" s="2" t="s">
        <v>33</v>
      </c>
      <c r="H31" t="s">
        <v>389</v>
      </c>
      <c r="I31" t="s">
        <v>371</v>
      </c>
      <c r="J31" t="s">
        <v>390</v>
      </c>
      <c r="K31" t="s">
        <v>391</v>
      </c>
      <c r="L31" t="s">
        <v>392</v>
      </c>
      <c r="M31" t="str" cm="1">
        <f t="array" ref="M31">_xlfn.IFS(L31&lt;=101,"15a101minutos",
AND(L31&gt;101,L31&lt;=188),"102a188minutos",L31&gt;188,"189a274minutos")</f>
        <v>189a274minutos</v>
      </c>
    </row>
    <row r="32" spans="1:13" x14ac:dyDescent="0.25">
      <c r="A32" s="2" t="s">
        <v>209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32</v>
      </c>
      <c r="G32" s="2" t="s">
        <v>33</v>
      </c>
      <c r="H32" t="s">
        <v>393</v>
      </c>
      <c r="I32" t="s">
        <v>394</v>
      </c>
      <c r="J32" t="s">
        <v>395</v>
      </c>
      <c r="K32" t="s">
        <v>396</v>
      </c>
      <c r="L32">
        <v>45.39</v>
      </c>
      <c r="M32" t="str" cm="1">
        <f t="array" ref="M32">_xlfn.IFS(L32&lt;=101,"15a101minutos",
AND(L32&gt;101,L32&lt;=188),"102a188minutos",L32&gt;188,"189a274minutos")</f>
        <v>15a101minutos</v>
      </c>
    </row>
    <row r="33" spans="1:13" x14ac:dyDescent="0.25">
      <c r="A33" s="2" t="s">
        <v>215</v>
      </c>
      <c r="B33" s="2" t="s">
        <v>40</v>
      </c>
      <c r="C33" s="2" t="s">
        <v>41</v>
      </c>
      <c r="D33" s="2" t="s">
        <v>42</v>
      </c>
      <c r="E33" s="2" t="s">
        <v>31</v>
      </c>
      <c r="F33" s="2" t="s">
        <v>32</v>
      </c>
      <c r="G33" s="2" t="s">
        <v>33</v>
      </c>
      <c r="H33" t="s">
        <v>397</v>
      </c>
      <c r="I33" t="s">
        <v>398</v>
      </c>
      <c r="J33" t="s">
        <v>399</v>
      </c>
      <c r="K33" t="s">
        <v>400</v>
      </c>
      <c r="L33">
        <v>153.6</v>
      </c>
      <c r="M33" t="str" cm="1">
        <f t="array" ref="M33">_xlfn.IFS(L33&lt;=101,"15a101minutos",
AND(L33&gt;101,L33&lt;=188),"102a188minutos",L33&gt;188,"189a274minutos")</f>
        <v>102a188minutos</v>
      </c>
    </row>
    <row r="34" spans="1:13" x14ac:dyDescent="0.25">
      <c r="A34" s="2" t="s">
        <v>221</v>
      </c>
      <c r="B34" s="2" t="s">
        <v>40</v>
      </c>
      <c r="C34" s="2" t="s">
        <v>49</v>
      </c>
      <c r="D34" s="2" t="s">
        <v>20</v>
      </c>
      <c r="E34" s="2" t="s">
        <v>31</v>
      </c>
      <c r="F34" s="2" t="s">
        <v>22</v>
      </c>
      <c r="G34" s="2" t="s">
        <v>23</v>
      </c>
      <c r="H34" t="s">
        <v>401</v>
      </c>
      <c r="I34" t="s">
        <v>402</v>
      </c>
      <c r="J34" t="s">
        <v>403</v>
      </c>
      <c r="K34" t="s">
        <v>404</v>
      </c>
      <c r="L34">
        <v>19.97</v>
      </c>
      <c r="M34" t="str" cm="1">
        <f t="array" ref="M34">_xlfn.IFS(L34&lt;=101,"15a101minutos",
AND(L34&gt;101,L34&lt;=188),"102a188minutos",L34&gt;188,"189a274minutos")</f>
        <v>15a101minutos</v>
      </c>
    </row>
    <row r="35" spans="1:13" x14ac:dyDescent="0.25">
      <c r="A35" s="2" t="s">
        <v>227</v>
      </c>
      <c r="B35" s="2" t="s">
        <v>40</v>
      </c>
      <c r="C35" s="2" t="s">
        <v>76</v>
      </c>
      <c r="D35" s="2" t="s">
        <v>20</v>
      </c>
      <c r="E35" s="2" t="s">
        <v>21</v>
      </c>
      <c r="F35" s="2" t="s">
        <v>32</v>
      </c>
      <c r="G35" s="2" t="s">
        <v>33</v>
      </c>
      <c r="H35" t="s">
        <v>405</v>
      </c>
      <c r="I35" t="s">
        <v>406</v>
      </c>
      <c r="J35" t="s">
        <v>407</v>
      </c>
      <c r="K35" t="s">
        <v>408</v>
      </c>
      <c r="L35">
        <v>273.7</v>
      </c>
      <c r="M35" t="str" cm="1">
        <f t="array" ref="M35">_xlfn.IFS(L35&lt;=101,"15a101minutos",
AND(L35&gt;101,L35&lt;=188),"102a188minutos",L35&gt;188,"189a274minutos")</f>
        <v>189a274minutos</v>
      </c>
    </row>
    <row r="36" spans="1:13" x14ac:dyDescent="0.25">
      <c r="A36" s="2" t="s">
        <v>233</v>
      </c>
      <c r="B36" s="2" t="s">
        <v>40</v>
      </c>
      <c r="C36" s="2" t="s">
        <v>41</v>
      </c>
      <c r="D36" s="2" t="s">
        <v>20</v>
      </c>
      <c r="E36" s="2" t="s">
        <v>21</v>
      </c>
      <c r="F36" s="2" t="s">
        <v>22</v>
      </c>
      <c r="G36" s="2" t="s">
        <v>23</v>
      </c>
      <c r="H36" t="s">
        <v>409</v>
      </c>
      <c r="I36" t="s">
        <v>410</v>
      </c>
      <c r="J36" t="s">
        <v>411</v>
      </c>
      <c r="K36" t="s">
        <v>412</v>
      </c>
      <c r="L36">
        <v>85.05</v>
      </c>
      <c r="M36" t="str" cm="1">
        <f t="array" ref="M36">_xlfn.IFS(L36&lt;=101,"15a101minutos",
AND(L36&gt;101,L36&lt;=188),"102a188minutos",L36&gt;188,"189a274minutos")</f>
        <v>15a101minutos</v>
      </c>
    </row>
    <row r="37" spans="1:13" x14ac:dyDescent="0.25">
      <c r="A37" s="2" t="s">
        <v>239</v>
      </c>
      <c r="B37" s="2" t="s">
        <v>40</v>
      </c>
      <c r="C37" s="2" t="s">
        <v>49</v>
      </c>
      <c r="D37" s="2" t="s">
        <v>20</v>
      </c>
      <c r="E37" s="2" t="s">
        <v>21</v>
      </c>
      <c r="F37" s="2" t="s">
        <v>32</v>
      </c>
      <c r="G37" s="2" t="s">
        <v>23</v>
      </c>
      <c r="H37" t="s">
        <v>413</v>
      </c>
      <c r="I37" t="s">
        <v>414</v>
      </c>
      <c r="J37" t="s">
        <v>415</v>
      </c>
      <c r="K37" t="s">
        <v>416</v>
      </c>
      <c r="L37">
        <v>202.13</v>
      </c>
      <c r="M37" t="str" cm="1">
        <f t="array" ref="M37">_xlfn.IFS(L37&lt;=101,"15a101minutos",
AND(L37&gt;101,L37&lt;=188),"102a188minutos",L37&gt;188,"189a274minutos")</f>
        <v>189a274minutos</v>
      </c>
    </row>
    <row r="38" spans="1:13" x14ac:dyDescent="0.25">
      <c r="A38" s="2" t="s">
        <v>245</v>
      </c>
      <c r="B38" s="2" t="s">
        <v>40</v>
      </c>
      <c r="C38" s="2" t="s">
        <v>41</v>
      </c>
      <c r="D38" s="2" t="s">
        <v>30</v>
      </c>
      <c r="E38" s="2" t="s">
        <v>31</v>
      </c>
      <c r="F38" s="2" t="s">
        <v>22</v>
      </c>
      <c r="G38" s="2" t="s">
        <v>33</v>
      </c>
      <c r="H38" t="s">
        <v>417</v>
      </c>
      <c r="I38" t="s">
        <v>418</v>
      </c>
      <c r="J38" t="s">
        <v>419</v>
      </c>
      <c r="K38" t="s">
        <v>420</v>
      </c>
      <c r="L38">
        <v>100.4</v>
      </c>
      <c r="M38" t="str" cm="1">
        <f t="array" ref="M38">_xlfn.IFS(L38&lt;=101,"15a101minutos",
AND(L38&gt;101,L38&lt;=188),"102a188minutos",L38&gt;188,"189a274minutos")</f>
        <v>15a101minutos</v>
      </c>
    </row>
    <row r="39" spans="1:13" x14ac:dyDescent="0.25">
      <c r="A39" s="2" t="s">
        <v>251</v>
      </c>
      <c r="B39" s="2" t="s">
        <v>18</v>
      </c>
      <c r="C39" s="2" t="s">
        <v>49</v>
      </c>
      <c r="D39" s="2" t="s">
        <v>20</v>
      </c>
      <c r="E39" s="2" t="s">
        <v>21</v>
      </c>
      <c r="F39" s="2" t="s">
        <v>32</v>
      </c>
      <c r="G39" s="2" t="s">
        <v>33</v>
      </c>
      <c r="H39" t="s">
        <v>421</v>
      </c>
      <c r="I39" t="s">
        <v>422</v>
      </c>
      <c r="J39" t="s">
        <v>423</v>
      </c>
      <c r="K39" t="s">
        <v>424</v>
      </c>
      <c r="L39">
        <v>160.82</v>
      </c>
      <c r="M39" t="str" cm="1">
        <f t="array" ref="M39">_xlfn.IFS(L39&lt;=101,"15a101minutos",
AND(L39&gt;101,L39&lt;=188),"102a188minutos",L39&gt;188,"189a274minutos")</f>
        <v>102a188minutos</v>
      </c>
    </row>
    <row r="40" spans="1:13" x14ac:dyDescent="0.25">
      <c r="A40" s="2" t="s">
        <v>257</v>
      </c>
      <c r="B40" s="2" t="s">
        <v>18</v>
      </c>
      <c r="C40" s="2" t="s">
        <v>76</v>
      </c>
      <c r="D40" s="2" t="s">
        <v>20</v>
      </c>
      <c r="E40" s="2" t="s">
        <v>21</v>
      </c>
      <c r="F40" s="2" t="s">
        <v>32</v>
      </c>
      <c r="G40" s="2" t="s">
        <v>23</v>
      </c>
      <c r="H40" t="s">
        <v>425</v>
      </c>
      <c r="I40" t="s">
        <v>426</v>
      </c>
      <c r="J40" t="s">
        <v>427</v>
      </c>
      <c r="K40" t="s">
        <v>428</v>
      </c>
      <c r="L40">
        <v>168.55</v>
      </c>
      <c r="M40" t="str" cm="1">
        <f t="array" ref="M40">_xlfn.IFS(L40&lt;=101,"15a101minutos",
AND(L40&gt;101,L40&lt;=188),"102a188minutos",L40&gt;188,"189a274minutos")</f>
        <v>102a188minutos</v>
      </c>
    </row>
    <row r="41" spans="1:13" x14ac:dyDescent="0.25">
      <c r="A41" s="2" t="s">
        <v>263</v>
      </c>
      <c r="B41" s="2" t="s">
        <v>40</v>
      </c>
      <c r="C41" s="2" t="s">
        <v>19</v>
      </c>
      <c r="D41" s="2" t="s">
        <v>20</v>
      </c>
      <c r="E41" s="2" t="s">
        <v>31</v>
      </c>
      <c r="F41" s="2" t="s">
        <v>22</v>
      </c>
      <c r="G41" s="2" t="s">
        <v>23</v>
      </c>
      <c r="H41" t="s">
        <v>429</v>
      </c>
      <c r="I41" t="s">
        <v>430</v>
      </c>
      <c r="J41" t="s">
        <v>431</v>
      </c>
      <c r="K41" t="s">
        <v>432</v>
      </c>
      <c r="L41">
        <v>63.61</v>
      </c>
      <c r="M41" t="str" cm="1">
        <f t="array" ref="M41">_xlfn.IFS(L41&lt;=101,"15a101minutos",
AND(L41&gt;101,L41&lt;=188),"102a188minutos",L41&gt;188,"189a274minutos")</f>
        <v>15a101minutos</v>
      </c>
    </row>
    <row r="42" spans="1:13" x14ac:dyDescent="0.25">
      <c r="A42" s="2" t="s">
        <v>52</v>
      </c>
      <c r="B42" s="2" t="s">
        <v>18</v>
      </c>
      <c r="C42" s="2" t="s">
        <v>19</v>
      </c>
      <c r="D42" s="2" t="s">
        <v>42</v>
      </c>
      <c r="E42" s="2" t="s">
        <v>21</v>
      </c>
      <c r="F42" s="2" t="s">
        <v>32</v>
      </c>
      <c r="G42" s="2" t="s">
        <v>33</v>
      </c>
      <c r="H42" t="s">
        <v>284</v>
      </c>
      <c r="I42" t="s">
        <v>285</v>
      </c>
      <c r="J42" t="s">
        <v>286</v>
      </c>
      <c r="K42" t="s">
        <v>287</v>
      </c>
      <c r="L42">
        <v>113.83</v>
      </c>
      <c r="M42" t="str" cm="1">
        <f t="array" ref="M42">_xlfn.IFS(L42&lt;=101,"15a101minutos",
AND(L42&gt;101,L42&lt;=188),"102a188minutos",L42&gt;188,"189a274minutos")</f>
        <v>102a188minutos</v>
      </c>
    </row>
    <row r="43" spans="1:13" x14ac:dyDescent="0.25">
      <c r="A43" s="2" t="s">
        <v>58</v>
      </c>
      <c r="B43" s="2" t="s">
        <v>63</v>
      </c>
      <c r="C43" s="2" t="s">
        <v>49</v>
      </c>
      <c r="D43" s="2" t="s">
        <v>20</v>
      </c>
      <c r="E43" s="2" t="s">
        <v>21</v>
      </c>
      <c r="F43" s="2" t="s">
        <v>22</v>
      </c>
      <c r="G43" s="2" t="s">
        <v>23</v>
      </c>
      <c r="H43" t="s">
        <v>288</v>
      </c>
      <c r="I43" t="s">
        <v>289</v>
      </c>
      <c r="J43" t="s">
        <v>290</v>
      </c>
      <c r="K43" t="s">
        <v>291</v>
      </c>
      <c r="L43">
        <v>141.44999999999999</v>
      </c>
      <c r="M43" t="str" cm="1">
        <f t="array" ref="M43">_xlfn.IFS(L43&lt;=101,"15a101minutos",
AND(L43&gt;101,L43&lt;=188),"102a188minutos",L43&gt;188,"189a274minutos")</f>
        <v>102a188minutos</v>
      </c>
    </row>
    <row r="44" spans="1:13" x14ac:dyDescent="0.25">
      <c r="A44" s="2" t="s">
        <v>65</v>
      </c>
      <c r="B44" s="2" t="s">
        <v>40</v>
      </c>
      <c r="C44" s="2" t="s">
        <v>41</v>
      </c>
      <c r="D44" s="2" t="s">
        <v>20</v>
      </c>
      <c r="E44" s="2" t="s">
        <v>50</v>
      </c>
      <c r="F44" s="2" t="s">
        <v>22</v>
      </c>
      <c r="G44" s="2" t="s">
        <v>23</v>
      </c>
      <c r="H44" t="s">
        <v>292</v>
      </c>
      <c r="I44" t="s">
        <v>293</v>
      </c>
      <c r="J44" t="s">
        <v>294</v>
      </c>
      <c r="K44" t="s">
        <v>295</v>
      </c>
      <c r="L44">
        <v>225.5</v>
      </c>
      <c r="M44" t="str" cm="1">
        <f t="array" ref="M44">_xlfn.IFS(L44&lt;=101,"15a101minutos",
AND(L44&gt;101,L44&lt;=188),"102a188minutos",L44&gt;188,"189a274minutos")</f>
        <v>189a274minutos</v>
      </c>
    </row>
    <row r="45" spans="1:13" x14ac:dyDescent="0.25">
      <c r="A45" s="2" t="s">
        <v>71</v>
      </c>
      <c r="B45" s="2" t="s">
        <v>40</v>
      </c>
      <c r="C45" s="2" t="s">
        <v>76</v>
      </c>
      <c r="D45" s="2" t="s">
        <v>20</v>
      </c>
      <c r="E45" s="2" t="s">
        <v>50</v>
      </c>
      <c r="F45" s="2" t="s">
        <v>22</v>
      </c>
      <c r="G45" s="2" t="s">
        <v>23</v>
      </c>
      <c r="H45" t="s">
        <v>296</v>
      </c>
      <c r="I45" t="s">
        <v>297</v>
      </c>
      <c r="J45" t="s">
        <v>298</v>
      </c>
      <c r="K45" t="s">
        <v>299</v>
      </c>
      <c r="L45">
        <v>15.82</v>
      </c>
      <c r="M45" t="str" cm="1">
        <f t="array" ref="M45">_xlfn.IFS(L45&lt;=101,"15a101minutos",
AND(L45&gt;101,L45&lt;=188),"102a188minutos",L45&gt;188,"189a274minutos")</f>
        <v>15a101minutos</v>
      </c>
    </row>
    <row r="46" spans="1:13" x14ac:dyDescent="0.25">
      <c r="A46" s="2" t="s">
        <v>78</v>
      </c>
      <c r="B46" s="2" t="s">
        <v>40</v>
      </c>
      <c r="C46" s="2" t="s">
        <v>19</v>
      </c>
      <c r="D46" s="2" t="s">
        <v>20</v>
      </c>
      <c r="E46" s="2" t="s">
        <v>21</v>
      </c>
      <c r="F46" s="2" t="s">
        <v>22</v>
      </c>
      <c r="G46" s="2" t="s">
        <v>23</v>
      </c>
      <c r="H46" t="s">
        <v>300</v>
      </c>
      <c r="I46" t="s">
        <v>301</v>
      </c>
      <c r="J46" t="s">
        <v>302</v>
      </c>
      <c r="K46" t="s">
        <v>303</v>
      </c>
      <c r="L46">
        <v>79.47</v>
      </c>
      <c r="M46" t="str" cm="1">
        <f t="array" ref="M46">_xlfn.IFS(L46&lt;=101,"15a101minutos",
AND(L46&gt;101,L46&lt;=188),"102a188minutos",L46&gt;188,"189a274minutos")</f>
        <v>15a101minutos</v>
      </c>
    </row>
    <row r="47" spans="1:13" x14ac:dyDescent="0.25">
      <c r="A47" s="2" t="s">
        <v>84</v>
      </c>
      <c r="B47" s="2" t="s">
        <v>18</v>
      </c>
      <c r="C47" s="2" t="s">
        <v>49</v>
      </c>
      <c r="D47" s="2" t="s">
        <v>42</v>
      </c>
      <c r="E47" s="2" t="s">
        <v>31</v>
      </c>
      <c r="F47" s="2" t="s">
        <v>22</v>
      </c>
      <c r="G47" s="2" t="s">
        <v>33</v>
      </c>
      <c r="H47" t="s">
        <v>304</v>
      </c>
      <c r="I47" t="s">
        <v>305</v>
      </c>
      <c r="J47" t="s">
        <v>306</v>
      </c>
      <c r="K47" t="s">
        <v>307</v>
      </c>
      <c r="L47">
        <v>215.44</v>
      </c>
      <c r="M47" t="str" cm="1">
        <f t="array" ref="M47">_xlfn.IFS(L47&lt;=101,"15a101minutos",
AND(L47&gt;101,L47&lt;=188),"102a188minutos",L47&gt;188,"189a274minutos")</f>
        <v>189a274minutos</v>
      </c>
    </row>
    <row r="48" spans="1:13" x14ac:dyDescent="0.25">
      <c r="A48" s="2" t="s">
        <v>90</v>
      </c>
      <c r="B48" s="2" t="s">
        <v>63</v>
      </c>
      <c r="C48" s="2" t="s">
        <v>19</v>
      </c>
      <c r="D48" s="2" t="s">
        <v>30</v>
      </c>
      <c r="E48" s="2" t="s">
        <v>50</v>
      </c>
      <c r="F48" s="2" t="s">
        <v>32</v>
      </c>
      <c r="G48" s="2" t="s">
        <v>33</v>
      </c>
      <c r="H48" t="s">
        <v>308</v>
      </c>
      <c r="I48" t="s">
        <v>309</v>
      </c>
      <c r="J48" t="s">
        <v>310</v>
      </c>
      <c r="K48" t="s">
        <v>311</v>
      </c>
      <c r="L48">
        <v>237.84</v>
      </c>
      <c r="M48" t="str" cm="1">
        <f t="array" ref="M48">_xlfn.IFS(L48&lt;=101,"15a101minutos",
AND(L48&gt;101,L48&lt;=188),"102a188minutos",L48&gt;188,"189a274minutos")</f>
        <v>189a274minutos</v>
      </c>
    </row>
    <row r="49" spans="1:13" x14ac:dyDescent="0.25">
      <c r="A49" s="2" t="s">
        <v>96</v>
      </c>
      <c r="B49" s="2" t="s">
        <v>18</v>
      </c>
      <c r="C49" s="2" t="s">
        <v>76</v>
      </c>
      <c r="D49" s="2" t="s">
        <v>42</v>
      </c>
      <c r="E49" s="2" t="s">
        <v>21</v>
      </c>
      <c r="F49" s="2" t="s">
        <v>22</v>
      </c>
      <c r="G49" s="2" t="s">
        <v>33</v>
      </c>
      <c r="H49" t="s">
        <v>312</v>
      </c>
      <c r="I49" t="s">
        <v>313</v>
      </c>
      <c r="J49" t="s">
        <v>314</v>
      </c>
      <c r="K49" t="s">
        <v>315</v>
      </c>
      <c r="L49">
        <v>73.849999999999994</v>
      </c>
      <c r="M49" t="str" cm="1">
        <f t="array" ref="M49">_xlfn.IFS(L49&lt;=101,"15a101minutos",
AND(L49&gt;101,L49&lt;=188),"102a188minutos",L49&gt;188,"189a274minutos")</f>
        <v>15a101minutos</v>
      </c>
    </row>
    <row r="50" spans="1:13" x14ac:dyDescent="0.25">
      <c r="A50" s="2" t="s">
        <v>102</v>
      </c>
      <c r="B50" s="2" t="s">
        <v>18</v>
      </c>
      <c r="C50" s="2" t="s">
        <v>76</v>
      </c>
      <c r="D50" s="2" t="s">
        <v>30</v>
      </c>
      <c r="E50" s="2" t="s">
        <v>21</v>
      </c>
      <c r="F50" s="2" t="s">
        <v>32</v>
      </c>
      <c r="G50" s="2" t="s">
        <v>33</v>
      </c>
      <c r="H50" t="s">
        <v>316</v>
      </c>
      <c r="I50" t="s">
        <v>317</v>
      </c>
      <c r="J50" t="s">
        <v>318</v>
      </c>
      <c r="K50" t="s">
        <v>319</v>
      </c>
      <c r="L50">
        <v>19.670000000000002</v>
      </c>
      <c r="M50" t="str" cm="1">
        <f t="array" ref="M50">_xlfn.IFS(L50&lt;=101,"15a101minutos",
AND(L50&gt;101,L50&lt;=188),"102a188minutos",L50&gt;188,"189a274minutos")</f>
        <v>15a101minutos</v>
      </c>
    </row>
    <row r="51" spans="1:13" x14ac:dyDescent="0.25">
      <c r="A51" s="2" t="s">
        <v>209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32</v>
      </c>
      <c r="G51" s="2" t="s">
        <v>33</v>
      </c>
      <c r="H51" t="s">
        <v>393</v>
      </c>
      <c r="I51" t="s">
        <v>394</v>
      </c>
      <c r="J51" t="s">
        <v>395</v>
      </c>
      <c r="K51" t="s">
        <v>396</v>
      </c>
      <c r="L51">
        <v>45.39</v>
      </c>
      <c r="M51" t="str" cm="1">
        <f t="array" ref="M51">_xlfn.IFS(L51&lt;=101,"15a101minutos",
AND(L51&gt;101,L51&lt;=188),"102a188minutos",L51&gt;188,"189a274minutos")</f>
        <v>15a101minutos</v>
      </c>
    </row>
    <row r="52" spans="1:13" x14ac:dyDescent="0.25">
      <c r="A52" s="2" t="s">
        <v>215</v>
      </c>
      <c r="B52" s="2" t="s">
        <v>40</v>
      </c>
      <c r="C52" s="2" t="s">
        <v>41</v>
      </c>
      <c r="D52" s="2" t="s">
        <v>42</v>
      </c>
      <c r="E52" s="2" t="s">
        <v>31</v>
      </c>
      <c r="F52" s="2" t="s">
        <v>32</v>
      </c>
      <c r="G52" s="2" t="s">
        <v>33</v>
      </c>
      <c r="H52" t="s">
        <v>397</v>
      </c>
      <c r="I52" t="s">
        <v>398</v>
      </c>
      <c r="J52" t="s">
        <v>399</v>
      </c>
      <c r="K52" t="s">
        <v>400</v>
      </c>
      <c r="L52">
        <v>153.6</v>
      </c>
      <c r="M52" t="str" cm="1">
        <f t="array" ref="M52">_xlfn.IFS(L52&lt;=101,"15a101minutos",
AND(L52&gt;101,L52&lt;=188),"102a188minutos",L52&gt;188,"189a274minutos")</f>
        <v>102a188minutos</v>
      </c>
    </row>
    <row r="53" spans="1:13" x14ac:dyDescent="0.25">
      <c r="A53" s="2" t="s">
        <v>221</v>
      </c>
      <c r="B53" s="2" t="s">
        <v>40</v>
      </c>
      <c r="C53" s="2" t="s">
        <v>49</v>
      </c>
      <c r="D53" s="2" t="s">
        <v>20</v>
      </c>
      <c r="E53" s="2" t="s">
        <v>31</v>
      </c>
      <c r="F53" s="2" t="s">
        <v>22</v>
      </c>
      <c r="G53" s="2" t="s">
        <v>23</v>
      </c>
      <c r="H53" t="s">
        <v>401</v>
      </c>
      <c r="I53" t="s">
        <v>402</v>
      </c>
      <c r="J53" t="s">
        <v>403</v>
      </c>
      <c r="K53" t="s">
        <v>404</v>
      </c>
      <c r="L53">
        <v>19.97</v>
      </c>
      <c r="M53" t="str" cm="1">
        <f t="array" ref="M53">_xlfn.IFS(L53&lt;=101,"15a101minutos",
AND(L53&gt;101,L53&lt;=188),"102a188minutos",L53&gt;188,"189a274minutos")</f>
        <v>15a101minutos</v>
      </c>
    </row>
    <row r="54" spans="1:13" x14ac:dyDescent="0.25">
      <c r="A54" s="2" t="s">
        <v>227</v>
      </c>
      <c r="B54" s="2" t="s">
        <v>40</v>
      </c>
      <c r="C54" s="2" t="s">
        <v>76</v>
      </c>
      <c r="D54" s="2" t="s">
        <v>20</v>
      </c>
      <c r="E54" s="2" t="s">
        <v>21</v>
      </c>
      <c r="F54" s="2" t="s">
        <v>32</v>
      </c>
      <c r="G54" s="2" t="s">
        <v>33</v>
      </c>
      <c r="H54" t="s">
        <v>405</v>
      </c>
      <c r="I54" t="s">
        <v>406</v>
      </c>
      <c r="J54" t="s">
        <v>407</v>
      </c>
      <c r="K54" t="s">
        <v>408</v>
      </c>
      <c r="L54">
        <v>273.7</v>
      </c>
      <c r="M54" t="str" cm="1">
        <f t="array" ref="M54">_xlfn.IFS(L54&lt;=101,"15a101minutos",
AND(L54&gt;101,L54&lt;=188),"102a188minutos",L54&gt;188,"189a274minutos")</f>
        <v>189a274minutos</v>
      </c>
    </row>
    <row r="55" spans="1:13" x14ac:dyDescent="0.25">
      <c r="A55" s="2" t="s">
        <v>233</v>
      </c>
      <c r="B55" s="2" t="s">
        <v>40</v>
      </c>
      <c r="C55" s="2" t="s">
        <v>41</v>
      </c>
      <c r="D55" s="2" t="s">
        <v>20</v>
      </c>
      <c r="E55" s="2" t="s">
        <v>21</v>
      </c>
      <c r="F55" s="2" t="s">
        <v>22</v>
      </c>
      <c r="G55" s="2" t="s">
        <v>23</v>
      </c>
      <c r="H55" t="s">
        <v>409</v>
      </c>
      <c r="I55" t="s">
        <v>410</v>
      </c>
      <c r="J55" t="s">
        <v>411</v>
      </c>
      <c r="K55" t="s">
        <v>412</v>
      </c>
      <c r="L55">
        <v>85.05</v>
      </c>
      <c r="M55" t="str" cm="1">
        <f t="array" ref="M55">_xlfn.IFS(L55&lt;=101,"15a101minutos",
AND(L55&gt;101,L55&lt;=188),"102a188minutos",L55&gt;188,"189a274minutos")</f>
        <v>15a101minutos</v>
      </c>
    </row>
    <row r="56" spans="1:13" x14ac:dyDescent="0.25">
      <c r="A56" s="2" t="s">
        <v>239</v>
      </c>
      <c r="B56" s="2" t="s">
        <v>40</v>
      </c>
      <c r="C56" s="2" t="s">
        <v>49</v>
      </c>
      <c r="D56" s="2" t="s">
        <v>20</v>
      </c>
      <c r="E56" s="2" t="s">
        <v>21</v>
      </c>
      <c r="F56" s="2" t="s">
        <v>32</v>
      </c>
      <c r="G56" s="2" t="s">
        <v>23</v>
      </c>
      <c r="H56" t="s">
        <v>413</v>
      </c>
      <c r="I56" t="s">
        <v>414</v>
      </c>
      <c r="J56" t="s">
        <v>415</v>
      </c>
      <c r="K56" t="s">
        <v>416</v>
      </c>
      <c r="L56">
        <v>202.13</v>
      </c>
      <c r="M56" t="str" cm="1">
        <f t="array" ref="M56">_xlfn.IFS(L56&lt;=101,"15a101minutos",
AND(L56&gt;101,L56&lt;=188),"102a188minutos",L56&gt;188,"189a274minutos")</f>
        <v>189a274minutos</v>
      </c>
    </row>
    <row r="57" spans="1:13" x14ac:dyDescent="0.25">
      <c r="A57" s="2" t="s">
        <v>245</v>
      </c>
      <c r="B57" s="2" t="s">
        <v>40</v>
      </c>
      <c r="C57" s="2" t="s">
        <v>41</v>
      </c>
      <c r="D57" s="2" t="s">
        <v>30</v>
      </c>
      <c r="E57" s="2" t="s">
        <v>31</v>
      </c>
      <c r="F57" s="2" t="s">
        <v>22</v>
      </c>
      <c r="G57" s="2" t="s">
        <v>33</v>
      </c>
      <c r="H57" t="s">
        <v>417</v>
      </c>
      <c r="I57" t="s">
        <v>418</v>
      </c>
      <c r="J57" t="s">
        <v>419</v>
      </c>
      <c r="K57" t="s">
        <v>420</v>
      </c>
      <c r="L57">
        <v>100.4</v>
      </c>
      <c r="M57" t="str" cm="1">
        <f t="array" ref="M57">_xlfn.IFS(L57&lt;=101,"15a101minutos",
AND(L57&gt;101,L57&lt;=188),"102a188minutos",L57&gt;188,"189a274minutos")</f>
        <v>15a101minutos</v>
      </c>
    </row>
    <row r="58" spans="1:13" x14ac:dyDescent="0.25">
      <c r="A58" s="2" t="s">
        <v>251</v>
      </c>
      <c r="B58" s="2" t="s">
        <v>18</v>
      </c>
      <c r="C58" s="2" t="s">
        <v>49</v>
      </c>
      <c r="D58" s="2" t="s">
        <v>20</v>
      </c>
      <c r="E58" s="2" t="s">
        <v>21</v>
      </c>
      <c r="F58" s="2" t="s">
        <v>32</v>
      </c>
      <c r="G58" s="2" t="s">
        <v>33</v>
      </c>
      <c r="H58" t="s">
        <v>421</v>
      </c>
      <c r="I58" t="s">
        <v>422</v>
      </c>
      <c r="J58" t="s">
        <v>423</v>
      </c>
      <c r="K58" t="s">
        <v>424</v>
      </c>
      <c r="L58">
        <v>160.82</v>
      </c>
      <c r="M58" t="str" cm="1">
        <f t="array" ref="M58">_xlfn.IFS(L58&lt;=101,"15a101minutos",
AND(L58&gt;101,L58&lt;=188),"102a188minutos",L58&gt;188,"189a274minutos")</f>
        <v>102a188minutos</v>
      </c>
    </row>
    <row r="59" spans="1:13" x14ac:dyDescent="0.25">
      <c r="A59" s="2" t="s">
        <v>257</v>
      </c>
      <c r="B59" s="2" t="s">
        <v>18</v>
      </c>
      <c r="C59" s="2" t="s">
        <v>76</v>
      </c>
      <c r="D59" s="2" t="s">
        <v>20</v>
      </c>
      <c r="E59" s="2" t="s">
        <v>21</v>
      </c>
      <c r="F59" s="2" t="s">
        <v>32</v>
      </c>
      <c r="G59" s="2" t="s">
        <v>23</v>
      </c>
      <c r="H59" t="s">
        <v>425</v>
      </c>
      <c r="I59" t="s">
        <v>426</v>
      </c>
      <c r="J59" t="s">
        <v>427</v>
      </c>
      <c r="K59" t="s">
        <v>428</v>
      </c>
      <c r="L59">
        <v>168.55</v>
      </c>
      <c r="M59" t="str" cm="1">
        <f t="array" ref="M59">_xlfn.IFS(L59&lt;=101,"15a101minutos",
AND(L59&gt;101,L59&lt;=188),"102a188minutos",L59&gt;188,"189a274minutos")</f>
        <v>102a188minutos</v>
      </c>
    </row>
    <row r="60" spans="1:13" x14ac:dyDescent="0.25">
      <c r="A60" s="2" t="s">
        <v>263</v>
      </c>
      <c r="B60" s="2" t="s">
        <v>40</v>
      </c>
      <c r="C60" s="2" t="s">
        <v>19</v>
      </c>
      <c r="D60" s="2" t="s">
        <v>20</v>
      </c>
      <c r="E60" s="2" t="s">
        <v>31</v>
      </c>
      <c r="F60" s="2" t="s">
        <v>22</v>
      </c>
      <c r="G60" s="2" t="s">
        <v>23</v>
      </c>
      <c r="H60" t="s">
        <v>429</v>
      </c>
      <c r="I60" t="s">
        <v>430</v>
      </c>
      <c r="J60" t="s">
        <v>431</v>
      </c>
      <c r="K60" t="s">
        <v>432</v>
      </c>
      <c r="L60">
        <v>63.61</v>
      </c>
      <c r="M60" t="str" cm="1">
        <f t="array" ref="M60">_xlfn.IFS(L60&lt;=101,"15a101minutos",
AND(L60&gt;101,L60&lt;=188),"102a188minutos",L60&gt;188,"189a274minutos")</f>
        <v>15a101minutos</v>
      </c>
    </row>
    <row r="61" spans="1:13" x14ac:dyDescent="0.25">
      <c r="A61" s="2" t="s">
        <v>227</v>
      </c>
      <c r="B61" s="2" t="s">
        <v>40</v>
      </c>
      <c r="C61" s="2" t="s">
        <v>76</v>
      </c>
      <c r="D61" s="2" t="s">
        <v>20</v>
      </c>
      <c r="E61" s="2" t="s">
        <v>21</v>
      </c>
      <c r="F61" s="2" t="s">
        <v>32</v>
      </c>
      <c r="G61" s="2" t="s">
        <v>33</v>
      </c>
      <c r="H61" t="s">
        <v>405</v>
      </c>
      <c r="I61" t="s">
        <v>406</v>
      </c>
      <c r="J61" t="s">
        <v>407</v>
      </c>
      <c r="K61" t="s">
        <v>408</v>
      </c>
      <c r="L61">
        <v>273.7</v>
      </c>
      <c r="M61" t="str" cm="1">
        <f t="array" ref="M61">_xlfn.IFS(L61&lt;=101,"15a101minutos",
AND(L61&gt;101,L61&lt;=188),"102a188minutos",L61&gt;188,"189a274minutos")</f>
        <v>189a274minutos</v>
      </c>
    </row>
    <row r="62" spans="1:13" x14ac:dyDescent="0.25">
      <c r="A62" s="2" t="s">
        <v>233</v>
      </c>
      <c r="B62" s="2" t="s">
        <v>40</v>
      </c>
      <c r="C62" s="2" t="s">
        <v>41</v>
      </c>
      <c r="D62" s="2" t="s">
        <v>20</v>
      </c>
      <c r="E62" s="2" t="s">
        <v>21</v>
      </c>
      <c r="F62" s="2" t="s">
        <v>22</v>
      </c>
      <c r="G62" s="2" t="s">
        <v>23</v>
      </c>
      <c r="H62" t="s">
        <v>409</v>
      </c>
      <c r="I62" t="s">
        <v>410</v>
      </c>
      <c r="J62" t="s">
        <v>411</v>
      </c>
      <c r="K62" t="s">
        <v>412</v>
      </c>
      <c r="L62">
        <v>85.05</v>
      </c>
      <c r="M62" t="str" cm="1">
        <f t="array" ref="M62">_xlfn.IFS(L62&lt;=101,"15a101minutos",
AND(L62&gt;101,L62&lt;=188),"102a188minutos",L62&gt;188,"189a274minutos")</f>
        <v>15a101minutos</v>
      </c>
    </row>
    <row r="63" spans="1:13" x14ac:dyDescent="0.25">
      <c r="A63" s="2" t="s">
        <v>239</v>
      </c>
      <c r="B63" s="2" t="s">
        <v>40</v>
      </c>
      <c r="C63" s="2" t="s">
        <v>49</v>
      </c>
      <c r="D63" s="2" t="s">
        <v>20</v>
      </c>
      <c r="E63" s="2" t="s">
        <v>21</v>
      </c>
      <c r="F63" s="2" t="s">
        <v>32</v>
      </c>
      <c r="G63" s="2" t="s">
        <v>23</v>
      </c>
      <c r="H63" t="s">
        <v>413</v>
      </c>
      <c r="I63" t="s">
        <v>414</v>
      </c>
      <c r="J63" t="s">
        <v>415</v>
      </c>
      <c r="K63" t="s">
        <v>416</v>
      </c>
      <c r="L63">
        <v>202.13</v>
      </c>
      <c r="M63" t="str" cm="1">
        <f t="array" ref="M63">_xlfn.IFS(L63&lt;=101,"15a101minutos",
AND(L63&gt;101,L63&lt;=188),"102a188minutos",L63&gt;188,"189a274minutos")</f>
        <v>189a274minutos</v>
      </c>
    </row>
    <row r="64" spans="1:13" x14ac:dyDescent="0.25">
      <c r="A64" s="2" t="s">
        <v>245</v>
      </c>
      <c r="B64" s="2" t="s">
        <v>40</v>
      </c>
      <c r="C64" s="2" t="s">
        <v>41</v>
      </c>
      <c r="D64" s="2" t="s">
        <v>30</v>
      </c>
      <c r="E64" s="2" t="s">
        <v>31</v>
      </c>
      <c r="F64" s="2" t="s">
        <v>22</v>
      </c>
      <c r="G64" s="2" t="s">
        <v>33</v>
      </c>
      <c r="H64" t="s">
        <v>417</v>
      </c>
      <c r="I64" t="s">
        <v>418</v>
      </c>
      <c r="J64" t="s">
        <v>419</v>
      </c>
      <c r="K64" t="s">
        <v>420</v>
      </c>
      <c r="L64">
        <v>100.4</v>
      </c>
      <c r="M64" t="str" cm="1">
        <f t="array" ref="M64">_xlfn.IFS(L64&lt;=101,"15a101minutos",
AND(L64&gt;101,L64&lt;=188),"102a188minutos",L64&gt;188,"189a274minutos")</f>
        <v>15a101minutos</v>
      </c>
    </row>
    <row r="65" spans="1:13" x14ac:dyDescent="0.25">
      <c r="A65" s="2" t="s">
        <v>251</v>
      </c>
      <c r="B65" s="2" t="s">
        <v>18</v>
      </c>
      <c r="C65" s="2" t="s">
        <v>49</v>
      </c>
      <c r="D65" s="2" t="s">
        <v>20</v>
      </c>
      <c r="E65" s="2" t="s">
        <v>21</v>
      </c>
      <c r="F65" s="2" t="s">
        <v>32</v>
      </c>
      <c r="G65" s="2" t="s">
        <v>33</v>
      </c>
      <c r="H65" t="s">
        <v>421</v>
      </c>
      <c r="I65" t="s">
        <v>422</v>
      </c>
      <c r="J65" t="s">
        <v>423</v>
      </c>
      <c r="K65" t="s">
        <v>424</v>
      </c>
      <c r="L65">
        <v>160.82</v>
      </c>
      <c r="M65" t="str" cm="1">
        <f t="array" ref="M65">_xlfn.IFS(L65&lt;=101,"15a101minutos",
AND(L65&gt;101,L65&lt;=188),"102a188minutos",L65&gt;188,"189a274minutos")</f>
        <v>102a188minutos</v>
      </c>
    </row>
    <row r="66" spans="1:13" x14ac:dyDescent="0.25">
      <c r="A66" s="2" t="s">
        <v>257</v>
      </c>
      <c r="B66" s="2" t="s">
        <v>18</v>
      </c>
      <c r="C66" s="2" t="s">
        <v>76</v>
      </c>
      <c r="D66" s="2" t="s">
        <v>20</v>
      </c>
      <c r="E66" s="2" t="s">
        <v>21</v>
      </c>
      <c r="F66" s="2" t="s">
        <v>32</v>
      </c>
      <c r="G66" s="2" t="s">
        <v>23</v>
      </c>
      <c r="H66" t="s">
        <v>425</v>
      </c>
      <c r="I66" t="s">
        <v>426</v>
      </c>
      <c r="J66" t="s">
        <v>427</v>
      </c>
      <c r="K66" t="s">
        <v>428</v>
      </c>
      <c r="L66">
        <v>168.55</v>
      </c>
      <c r="M66" t="str" cm="1">
        <f t="array" ref="M66">_xlfn.IFS(L66&lt;=101,"15a101minutos",
AND(L66&gt;101,L66&lt;=188),"102a188minutos",L66&gt;188,"189a274minutos")</f>
        <v>102a188minutos</v>
      </c>
    </row>
    <row r="67" spans="1:13" x14ac:dyDescent="0.25">
      <c r="A67" s="2" t="s">
        <v>263</v>
      </c>
      <c r="B67" s="2" t="s">
        <v>40</v>
      </c>
      <c r="C67" s="2" t="s">
        <v>19</v>
      </c>
      <c r="D67" s="2" t="s">
        <v>20</v>
      </c>
      <c r="E67" s="2" t="s">
        <v>31</v>
      </c>
      <c r="F67" s="2" t="s">
        <v>22</v>
      </c>
      <c r="G67" s="2" t="s">
        <v>23</v>
      </c>
      <c r="H67" t="s">
        <v>429</v>
      </c>
      <c r="I67" t="s">
        <v>430</v>
      </c>
      <c r="J67" t="s">
        <v>431</v>
      </c>
      <c r="K67" t="s">
        <v>432</v>
      </c>
      <c r="L67">
        <v>63.61</v>
      </c>
      <c r="M67" t="str" cm="1">
        <f t="array" ref="M67">_xlfn.IFS(L67&lt;=101,"15a101minutos",
AND(L67&gt;101,L67&lt;=188),"102a188minutos",L67&gt;188,"189a274minutos")</f>
        <v>15a101minutos</v>
      </c>
    </row>
    <row r="68" spans="1:13" x14ac:dyDescent="0.25">
      <c r="A68" s="2" t="s">
        <v>108</v>
      </c>
      <c r="B68" s="2" t="s">
        <v>63</v>
      </c>
      <c r="C68" s="2" t="s">
        <v>49</v>
      </c>
      <c r="D68" s="2" t="s">
        <v>20</v>
      </c>
      <c r="E68" s="2" t="s">
        <v>21</v>
      </c>
      <c r="F68" s="2" t="s">
        <v>32</v>
      </c>
      <c r="G68" s="2" t="s">
        <v>33</v>
      </c>
      <c r="H68" t="s">
        <v>320</v>
      </c>
      <c r="I68" t="s">
        <v>321</v>
      </c>
      <c r="J68" t="s">
        <v>322</v>
      </c>
      <c r="K68" t="s">
        <v>323</v>
      </c>
      <c r="L68">
        <v>142.03</v>
      </c>
      <c r="M68" t="str" cm="1">
        <f t="array" ref="M68">_xlfn.IFS(L68&lt;=101,"15a101minutos",
AND(L68&gt;101,L68&lt;=188),"102a188minutos",L68&gt;188,"189a274minutos")</f>
        <v>102a188minutos</v>
      </c>
    </row>
    <row r="69" spans="1:13" x14ac:dyDescent="0.25">
      <c r="A69" s="2" t="s">
        <v>114</v>
      </c>
      <c r="B69" s="2" t="s">
        <v>63</v>
      </c>
      <c r="C69" s="2" t="s">
        <v>41</v>
      </c>
      <c r="D69" s="2" t="s">
        <v>20</v>
      </c>
      <c r="E69" s="2" t="s">
        <v>31</v>
      </c>
      <c r="F69" s="2" t="s">
        <v>32</v>
      </c>
      <c r="G69" s="2" t="s">
        <v>33</v>
      </c>
      <c r="H69" t="s">
        <v>324</v>
      </c>
      <c r="I69" t="s">
        <v>325</v>
      </c>
      <c r="J69" t="s">
        <v>326</v>
      </c>
      <c r="K69" t="s">
        <v>327</v>
      </c>
      <c r="L69">
        <v>37.53</v>
      </c>
      <c r="M69" t="str" cm="1">
        <f t="array" ref="M69">_xlfn.IFS(L69&lt;=101,"15a101minutos",
AND(L69&gt;101,L69&lt;=188),"102a188minutos",L69&gt;188,"189a274minutos")</f>
        <v>15a101minutos</v>
      </c>
    </row>
    <row r="70" spans="1:13" x14ac:dyDescent="0.25">
      <c r="A70" s="2" t="s">
        <v>120</v>
      </c>
      <c r="B70" s="2" t="s">
        <v>40</v>
      </c>
      <c r="C70" s="2" t="s">
        <v>76</v>
      </c>
      <c r="D70" s="2" t="s">
        <v>42</v>
      </c>
      <c r="E70" s="2" t="s">
        <v>50</v>
      </c>
      <c r="F70" s="2" t="s">
        <v>32</v>
      </c>
      <c r="G70" s="2" t="s">
        <v>33</v>
      </c>
      <c r="H70" t="s">
        <v>328</v>
      </c>
      <c r="I70" t="s">
        <v>329</v>
      </c>
      <c r="J70" t="s">
        <v>330</v>
      </c>
      <c r="K70" t="s">
        <v>331</v>
      </c>
      <c r="L70">
        <v>126.44</v>
      </c>
      <c r="M70" t="str" cm="1">
        <f t="array" ref="M70">_xlfn.IFS(L70&lt;=101,"15a101minutos",
AND(L70&gt;101,L70&lt;=188),"102a188minutos",L70&gt;188,"189a274minutos")</f>
        <v>102a188minutos</v>
      </c>
    </row>
    <row r="71" spans="1:13" x14ac:dyDescent="0.25">
      <c r="A71" s="2" t="s">
        <v>126</v>
      </c>
      <c r="B71" s="2" t="s">
        <v>63</v>
      </c>
      <c r="C71" s="2" t="s">
        <v>41</v>
      </c>
      <c r="D71" s="2" t="s">
        <v>20</v>
      </c>
      <c r="E71" s="2" t="s">
        <v>21</v>
      </c>
      <c r="F71" s="2" t="s">
        <v>22</v>
      </c>
      <c r="G71" s="2" t="s">
        <v>23</v>
      </c>
      <c r="H71" t="s">
        <v>332</v>
      </c>
      <c r="I71" t="s">
        <v>333</v>
      </c>
      <c r="J71" t="s">
        <v>334</v>
      </c>
      <c r="K71" t="s">
        <v>335</v>
      </c>
      <c r="L71">
        <v>131.78</v>
      </c>
      <c r="M71" t="str" cm="1">
        <f t="array" ref="M71">_xlfn.IFS(L71&lt;=101,"15a101minutos",
AND(L71&gt;101,L71&lt;=188),"102a188minutos",L71&gt;188,"189a274minutos")</f>
        <v>102a188minutos</v>
      </c>
    </row>
    <row r="72" spans="1:13" x14ac:dyDescent="0.25">
      <c r="A72" s="2" t="s">
        <v>132</v>
      </c>
      <c r="B72" s="2" t="s">
        <v>40</v>
      </c>
      <c r="C72" s="2" t="s">
        <v>49</v>
      </c>
      <c r="D72" s="2" t="s">
        <v>20</v>
      </c>
      <c r="E72" s="2" t="s">
        <v>31</v>
      </c>
      <c r="F72" s="2" t="s">
        <v>22</v>
      </c>
      <c r="G72" s="2" t="s">
        <v>23</v>
      </c>
      <c r="H72" t="s">
        <v>336</v>
      </c>
      <c r="I72" t="s">
        <v>337</v>
      </c>
      <c r="J72" t="s">
        <v>338</v>
      </c>
      <c r="K72" t="s">
        <v>339</v>
      </c>
      <c r="L72">
        <v>101.25</v>
      </c>
      <c r="M72" t="str" cm="1">
        <f t="array" ref="M72">_xlfn.IFS(L72&lt;=101,"15a101minutos",
AND(L72&gt;101,L72&lt;=188),"102a188minutos",L72&gt;188,"189a274minutos")</f>
        <v>102a188minutos</v>
      </c>
    </row>
    <row r="73" spans="1:13" x14ac:dyDescent="0.25">
      <c r="A73" s="2" t="s">
        <v>138</v>
      </c>
      <c r="B73" s="2" t="s">
        <v>63</v>
      </c>
      <c r="C73" s="2" t="s">
        <v>19</v>
      </c>
      <c r="D73" s="2" t="s">
        <v>20</v>
      </c>
      <c r="E73" s="2" t="s">
        <v>50</v>
      </c>
      <c r="F73" s="2" t="s">
        <v>22</v>
      </c>
      <c r="G73" s="2" t="s">
        <v>23</v>
      </c>
      <c r="H73" t="s">
        <v>340</v>
      </c>
      <c r="I73" t="s">
        <v>341</v>
      </c>
      <c r="J73" t="s">
        <v>342</v>
      </c>
      <c r="K73" t="s">
        <v>343</v>
      </c>
      <c r="L73">
        <v>194.22</v>
      </c>
      <c r="M73" t="str" cm="1">
        <f t="array" ref="M73">_xlfn.IFS(L73&lt;=101,"15a101minutos",
AND(L73&gt;101,L73&lt;=188),"102a188minutos",L73&gt;188,"189a274minutos")</f>
        <v>189a274minutos</v>
      </c>
    </row>
    <row r="74" spans="1:13" x14ac:dyDescent="0.25">
      <c r="A74" s="2" t="s">
        <v>144</v>
      </c>
      <c r="B74" s="2" t="s">
        <v>18</v>
      </c>
      <c r="C74" s="2" t="s">
        <v>76</v>
      </c>
      <c r="D74" s="2" t="s">
        <v>30</v>
      </c>
      <c r="E74" s="2" t="s">
        <v>21</v>
      </c>
      <c r="F74" s="2" t="s">
        <v>22</v>
      </c>
      <c r="G74" s="2" t="s">
        <v>23</v>
      </c>
      <c r="H74" t="s">
        <v>344</v>
      </c>
      <c r="I74" t="s">
        <v>345</v>
      </c>
      <c r="J74" t="s">
        <v>346</v>
      </c>
      <c r="K74" t="s">
        <v>347</v>
      </c>
      <c r="L74">
        <v>79.47</v>
      </c>
      <c r="M74" t="str" cm="1">
        <f t="array" ref="M74">_xlfn.IFS(L74&lt;=101,"15a101minutos",
AND(L74&gt;101,L74&lt;=188),"102a188minutos",L74&gt;188,"189a274minutos")</f>
        <v>15a101minutos</v>
      </c>
    </row>
    <row r="75" spans="1:13" x14ac:dyDescent="0.25">
      <c r="A75" s="2" t="s">
        <v>149</v>
      </c>
      <c r="B75" s="2" t="s">
        <v>63</v>
      </c>
      <c r="C75" s="2" t="s">
        <v>49</v>
      </c>
      <c r="D75" s="2" t="s">
        <v>30</v>
      </c>
      <c r="E75" s="2" t="s">
        <v>50</v>
      </c>
      <c r="F75" s="2" t="s">
        <v>32</v>
      </c>
      <c r="G75" s="2" t="s">
        <v>33</v>
      </c>
      <c r="H75" t="s">
        <v>348</v>
      </c>
      <c r="I75" t="s">
        <v>349</v>
      </c>
      <c r="J75" t="s">
        <v>350</v>
      </c>
      <c r="K75" t="s">
        <v>351</v>
      </c>
      <c r="L75" t="s">
        <v>352</v>
      </c>
      <c r="M75" t="str" cm="1">
        <f t="array" ref="M75">_xlfn.IFS(L75&lt;=101,"15a101minutos",
AND(L75&gt;101,L75&lt;=188),"102a188minutos",L75&gt;188,"189a274minutos")</f>
        <v>189a274minutos</v>
      </c>
    </row>
    <row r="76" spans="1:13" x14ac:dyDescent="0.25">
      <c r="A76" s="2" t="s">
        <v>155</v>
      </c>
      <c r="B76" s="2" t="s">
        <v>18</v>
      </c>
      <c r="C76" s="2" t="s">
        <v>76</v>
      </c>
      <c r="D76" s="2" t="s">
        <v>20</v>
      </c>
      <c r="E76" s="2" t="s">
        <v>21</v>
      </c>
      <c r="F76" s="2" t="s">
        <v>22</v>
      </c>
      <c r="G76" s="2" t="s">
        <v>23</v>
      </c>
      <c r="H76" t="s">
        <v>353</v>
      </c>
      <c r="I76" t="s">
        <v>354</v>
      </c>
      <c r="J76" t="s">
        <v>355</v>
      </c>
      <c r="K76" t="s">
        <v>356</v>
      </c>
      <c r="L76" t="s">
        <v>357</v>
      </c>
      <c r="M76" t="str" cm="1">
        <f t="array" ref="M76">_xlfn.IFS(L76&lt;=101,"15a101minutos",
AND(L76&gt;101,L76&lt;=188),"102a188minutos",L76&gt;188,"189a274minutos")</f>
        <v>189a274minutos</v>
      </c>
    </row>
    <row r="77" spans="1:13" x14ac:dyDescent="0.25">
      <c r="A77" s="2" t="s">
        <v>161</v>
      </c>
      <c r="B77" s="2" t="s">
        <v>40</v>
      </c>
      <c r="C77" s="2" t="s">
        <v>19</v>
      </c>
      <c r="D77" s="2" t="s">
        <v>42</v>
      </c>
      <c r="E77" s="2" t="s">
        <v>31</v>
      </c>
      <c r="F77" s="2" t="s">
        <v>32</v>
      </c>
      <c r="G77" s="2" t="s">
        <v>33</v>
      </c>
      <c r="H77" t="s">
        <v>358</v>
      </c>
      <c r="I77" t="s">
        <v>359</v>
      </c>
      <c r="J77" t="s">
        <v>360</v>
      </c>
      <c r="K77" t="s">
        <v>361</v>
      </c>
      <c r="L77" t="s">
        <v>362</v>
      </c>
      <c r="M77" t="str" cm="1">
        <f t="array" ref="M77">_xlfn.IFS(L77&lt;=101,"15a101minutos",
AND(L77&gt;101,L77&lt;=188),"102a188minutos",L77&gt;188,"189a274minutos")</f>
        <v>189a274minutos</v>
      </c>
    </row>
    <row r="78" spans="1:13" x14ac:dyDescent="0.25">
      <c r="A78" s="2" t="s">
        <v>167</v>
      </c>
      <c r="B78" s="2" t="s">
        <v>63</v>
      </c>
      <c r="C78" s="2" t="s">
        <v>41</v>
      </c>
      <c r="D78" s="2" t="s">
        <v>30</v>
      </c>
      <c r="E78" s="2" t="s">
        <v>50</v>
      </c>
      <c r="F78" s="2" t="s">
        <v>32</v>
      </c>
      <c r="G78" s="2" t="s">
        <v>23</v>
      </c>
      <c r="H78" t="s">
        <v>363</v>
      </c>
      <c r="I78" t="s">
        <v>364</v>
      </c>
      <c r="J78" t="s">
        <v>365</v>
      </c>
      <c r="K78" t="s">
        <v>366</v>
      </c>
      <c r="L78" t="s">
        <v>367</v>
      </c>
      <c r="M78" t="str" cm="1">
        <f t="array" ref="M78">_xlfn.IFS(L78&lt;=101,"15a101minutos",
AND(L78&gt;101,L78&lt;=188),"102a188minutos",L78&gt;188,"189a274minutos")</f>
        <v>189a274minutos</v>
      </c>
    </row>
    <row r="79" spans="1:13" x14ac:dyDescent="0.25">
      <c r="A79" s="2" t="s">
        <v>173</v>
      </c>
      <c r="B79" s="2" t="s">
        <v>18</v>
      </c>
      <c r="C79" s="2" t="s">
        <v>49</v>
      </c>
      <c r="D79" s="2" t="s">
        <v>42</v>
      </c>
      <c r="E79" s="2" t="s">
        <v>21</v>
      </c>
      <c r="F79" s="2" t="s">
        <v>22</v>
      </c>
      <c r="G79" s="2" t="s">
        <v>33</v>
      </c>
      <c r="H79" t="s">
        <v>368</v>
      </c>
      <c r="I79" t="s">
        <v>369</v>
      </c>
      <c r="J79" t="s">
        <v>370</v>
      </c>
      <c r="K79" t="s">
        <v>371</v>
      </c>
      <c r="L79" t="s">
        <v>372</v>
      </c>
      <c r="M79" t="str" cm="1">
        <f t="array" ref="M79">_xlfn.IFS(L79&lt;=101,"15a101minutos",
AND(L79&gt;101,L79&lt;=188),"102a188minutos",L79&gt;188,"189a274minutos")</f>
        <v>189a274minutos</v>
      </c>
    </row>
    <row r="80" spans="1:13" x14ac:dyDescent="0.25">
      <c r="A80" s="2" t="s">
        <v>179</v>
      </c>
      <c r="B80" s="2" t="s">
        <v>40</v>
      </c>
      <c r="C80" s="2" t="s">
        <v>76</v>
      </c>
      <c r="D80" s="2" t="s">
        <v>20</v>
      </c>
      <c r="E80" s="2" t="s">
        <v>31</v>
      </c>
      <c r="F80" s="2" t="s">
        <v>32</v>
      </c>
      <c r="G80" s="2" t="s">
        <v>23</v>
      </c>
      <c r="H80" t="s">
        <v>373</v>
      </c>
      <c r="I80" t="s">
        <v>374</v>
      </c>
      <c r="J80" t="s">
        <v>375</v>
      </c>
      <c r="K80" t="s">
        <v>376</v>
      </c>
      <c r="L80" t="s">
        <v>377</v>
      </c>
      <c r="M80" t="str" cm="1">
        <f t="array" ref="M80">_xlfn.IFS(L80&lt;=101,"15a101minutos",
AND(L80&gt;101,L80&lt;=188),"102a188minutos",L80&gt;188,"189a274minutos")</f>
        <v>189a274minutos</v>
      </c>
    </row>
    <row r="81" spans="1:13" x14ac:dyDescent="0.25">
      <c r="A81" s="2" t="s">
        <v>185</v>
      </c>
      <c r="B81" s="2" t="s">
        <v>63</v>
      </c>
      <c r="C81" s="2" t="s">
        <v>19</v>
      </c>
      <c r="D81" s="2" t="s">
        <v>30</v>
      </c>
      <c r="E81" s="2" t="s">
        <v>50</v>
      </c>
      <c r="F81" s="2" t="s">
        <v>32</v>
      </c>
      <c r="G81" s="2" t="s">
        <v>33</v>
      </c>
      <c r="H81" t="s">
        <v>378</v>
      </c>
      <c r="I81" t="s">
        <v>379</v>
      </c>
      <c r="J81" t="s">
        <v>380</v>
      </c>
      <c r="K81" t="s">
        <v>379</v>
      </c>
      <c r="L81" t="s">
        <v>381</v>
      </c>
      <c r="M81" t="str" cm="1">
        <f t="array" ref="M81">_xlfn.IFS(L81&lt;=101,"15a101minutos",
AND(L81&gt;101,L81&lt;=188),"102a188minutos",L81&gt;188,"189a274minutos")</f>
        <v>189a274minutos</v>
      </c>
    </row>
    <row r="82" spans="1:13" x14ac:dyDescent="0.25">
      <c r="A82" s="2" t="s">
        <v>191</v>
      </c>
      <c r="B82" s="2" t="s">
        <v>18</v>
      </c>
      <c r="C82" s="2" t="s">
        <v>41</v>
      </c>
      <c r="D82" s="2" t="s">
        <v>42</v>
      </c>
      <c r="E82" s="2" t="s">
        <v>21</v>
      </c>
      <c r="F82" s="2" t="s">
        <v>22</v>
      </c>
      <c r="G82" s="2" t="s">
        <v>23</v>
      </c>
      <c r="H82" t="s">
        <v>382</v>
      </c>
      <c r="I82" t="s">
        <v>351</v>
      </c>
      <c r="J82" t="s">
        <v>383</v>
      </c>
      <c r="K82" t="s">
        <v>384</v>
      </c>
      <c r="L82" t="s">
        <v>385</v>
      </c>
      <c r="M82" t="str" cm="1">
        <f t="array" ref="M82">_xlfn.IFS(L82&lt;=101,"15a101minutos",
AND(L82&gt;101,L82&lt;=188),"102a188minutos",L82&gt;188,"189a274minutos")</f>
        <v>189a274minutos</v>
      </c>
    </row>
    <row r="83" spans="1:13" x14ac:dyDescent="0.25">
      <c r="A83" s="2" t="s">
        <v>197</v>
      </c>
      <c r="B83" s="2" t="s">
        <v>40</v>
      </c>
      <c r="C83" s="2" t="s">
        <v>49</v>
      </c>
      <c r="D83" s="2" t="s">
        <v>20</v>
      </c>
      <c r="E83" s="2" t="s">
        <v>31</v>
      </c>
      <c r="F83" s="2" t="s">
        <v>32</v>
      </c>
      <c r="G83" s="2" t="s">
        <v>23</v>
      </c>
      <c r="H83" t="s">
        <v>386</v>
      </c>
      <c r="I83" t="s">
        <v>366</v>
      </c>
      <c r="J83" t="s">
        <v>387</v>
      </c>
      <c r="K83" t="s">
        <v>354</v>
      </c>
      <c r="L83" t="s">
        <v>388</v>
      </c>
      <c r="M83" t="str" cm="1">
        <f t="array" ref="M83">_xlfn.IFS(L83&lt;=101,"15a101minutos",
AND(L83&gt;101,L83&lt;=188),"102a188minutos",L83&gt;188,"189a274minutos")</f>
        <v>189a274minutos</v>
      </c>
    </row>
    <row r="84" spans="1:13" x14ac:dyDescent="0.25">
      <c r="A84" s="2" t="s">
        <v>203</v>
      </c>
      <c r="B84" s="2" t="s">
        <v>63</v>
      </c>
      <c r="C84" s="2" t="s">
        <v>76</v>
      </c>
      <c r="D84" s="2" t="s">
        <v>30</v>
      </c>
      <c r="E84" s="2" t="s">
        <v>50</v>
      </c>
      <c r="F84" s="2" t="s">
        <v>32</v>
      </c>
      <c r="G84" s="2" t="s">
        <v>33</v>
      </c>
      <c r="H84" t="s">
        <v>389</v>
      </c>
      <c r="I84" t="s">
        <v>371</v>
      </c>
      <c r="J84" t="s">
        <v>390</v>
      </c>
      <c r="K84" t="s">
        <v>391</v>
      </c>
      <c r="L84" t="s">
        <v>392</v>
      </c>
      <c r="M84" t="str" cm="1">
        <f t="array" ref="M84">_xlfn.IFS(L84&lt;=101,"15a101minutos",
AND(L84&gt;101,L84&lt;=188),"102a188minutos",L84&gt;188,"189a274minutos")</f>
        <v>189a274minutos</v>
      </c>
    </row>
    <row r="85" spans="1:13" x14ac:dyDescent="0.25">
      <c r="A85" s="2" t="s">
        <v>209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32</v>
      </c>
      <c r="G85" s="2" t="s">
        <v>33</v>
      </c>
      <c r="H85" t="s">
        <v>393</v>
      </c>
      <c r="I85" t="s">
        <v>394</v>
      </c>
      <c r="J85" t="s">
        <v>395</v>
      </c>
      <c r="K85" t="s">
        <v>396</v>
      </c>
      <c r="L85">
        <v>45.39</v>
      </c>
      <c r="M85" t="str" cm="1">
        <f t="array" ref="M85">_xlfn.IFS(L85&lt;=101,"15a101minutos",
AND(L85&gt;101,L85&lt;=188),"102a188minutos",L85&gt;188,"189a274minutos")</f>
        <v>15a101minutos</v>
      </c>
    </row>
    <row r="86" spans="1:13" x14ac:dyDescent="0.25">
      <c r="A86" s="2" t="s">
        <v>215</v>
      </c>
      <c r="B86" s="2" t="s">
        <v>40</v>
      </c>
      <c r="C86" s="2" t="s">
        <v>41</v>
      </c>
      <c r="D86" s="2" t="s">
        <v>42</v>
      </c>
      <c r="E86" s="2" t="s">
        <v>31</v>
      </c>
      <c r="F86" s="2" t="s">
        <v>32</v>
      </c>
      <c r="G86" s="2" t="s">
        <v>33</v>
      </c>
      <c r="H86" t="s">
        <v>397</v>
      </c>
      <c r="I86" t="s">
        <v>398</v>
      </c>
      <c r="J86" t="s">
        <v>399</v>
      </c>
      <c r="K86" t="s">
        <v>400</v>
      </c>
      <c r="L86">
        <v>153.6</v>
      </c>
      <c r="M86" t="str" cm="1">
        <f t="array" ref="M86">_xlfn.IFS(L86&lt;=101,"15a101minutos",
AND(L86&gt;101,L86&lt;=188),"102a188minutos",L86&gt;188,"189a274minutos")</f>
        <v>102a188minutos</v>
      </c>
    </row>
    <row r="87" spans="1:13" x14ac:dyDescent="0.25">
      <c r="A87" s="2" t="s">
        <v>221</v>
      </c>
      <c r="B87" s="2" t="s">
        <v>40</v>
      </c>
      <c r="C87" s="2" t="s">
        <v>49</v>
      </c>
      <c r="D87" s="2" t="s">
        <v>20</v>
      </c>
      <c r="E87" s="2" t="s">
        <v>31</v>
      </c>
      <c r="F87" s="2" t="s">
        <v>22</v>
      </c>
      <c r="G87" s="2" t="s">
        <v>23</v>
      </c>
      <c r="H87" t="s">
        <v>401</v>
      </c>
      <c r="I87" t="s">
        <v>402</v>
      </c>
      <c r="J87" t="s">
        <v>403</v>
      </c>
      <c r="K87" t="s">
        <v>404</v>
      </c>
      <c r="L87">
        <v>19.97</v>
      </c>
      <c r="M87" t="str" cm="1">
        <f t="array" ref="M87">_xlfn.IFS(L87&lt;=101,"15a101minutos",
AND(L87&gt;101,L87&lt;=188),"102a188minutos",L87&gt;188,"189a274minutos")</f>
        <v>15a101minutos</v>
      </c>
    </row>
    <row r="88" spans="1:13" x14ac:dyDescent="0.25">
      <c r="A88" s="2" t="s">
        <v>227</v>
      </c>
      <c r="B88" s="2" t="s">
        <v>40</v>
      </c>
      <c r="C88" s="2" t="s">
        <v>76</v>
      </c>
      <c r="D88" s="2" t="s">
        <v>20</v>
      </c>
      <c r="E88" s="2" t="s">
        <v>21</v>
      </c>
      <c r="F88" s="2" t="s">
        <v>32</v>
      </c>
      <c r="G88" s="2" t="s">
        <v>33</v>
      </c>
      <c r="H88" t="s">
        <v>405</v>
      </c>
      <c r="I88" t="s">
        <v>406</v>
      </c>
      <c r="J88" t="s">
        <v>407</v>
      </c>
      <c r="K88" t="s">
        <v>408</v>
      </c>
      <c r="L88">
        <v>273.7</v>
      </c>
      <c r="M88" t="str" cm="1">
        <f t="array" ref="M88">_xlfn.IFS(L88&lt;=101,"15a101minutos",
AND(L88&gt;101,L88&lt;=188),"102a188minutos",L88&gt;188,"189a274minutos")</f>
        <v>189a274minutos</v>
      </c>
    </row>
    <row r="89" spans="1:13" x14ac:dyDescent="0.25">
      <c r="A89" s="2" t="s">
        <v>233</v>
      </c>
      <c r="B89" s="2" t="s">
        <v>40</v>
      </c>
      <c r="C89" s="2" t="s">
        <v>41</v>
      </c>
      <c r="D89" s="2" t="s">
        <v>20</v>
      </c>
      <c r="E89" s="2" t="s">
        <v>21</v>
      </c>
      <c r="F89" s="2" t="s">
        <v>22</v>
      </c>
      <c r="G89" s="2" t="s">
        <v>23</v>
      </c>
      <c r="H89" t="s">
        <v>409</v>
      </c>
      <c r="I89" t="s">
        <v>410</v>
      </c>
      <c r="J89" t="s">
        <v>411</v>
      </c>
      <c r="K89" t="s">
        <v>412</v>
      </c>
      <c r="L89">
        <v>85.05</v>
      </c>
      <c r="M89" t="str" cm="1">
        <f t="array" ref="M89">_xlfn.IFS(L89&lt;=101,"15a101minutos",
AND(L89&gt;101,L89&lt;=188),"102a188minutos",L89&gt;188,"189a274minutos")</f>
        <v>15a101minutos</v>
      </c>
    </row>
    <row r="90" spans="1:13" x14ac:dyDescent="0.25">
      <c r="A90" s="2" t="s">
        <v>239</v>
      </c>
      <c r="B90" s="2" t="s">
        <v>40</v>
      </c>
      <c r="C90" s="2" t="s">
        <v>49</v>
      </c>
      <c r="D90" s="2" t="s">
        <v>20</v>
      </c>
      <c r="E90" s="2" t="s">
        <v>21</v>
      </c>
      <c r="F90" s="2" t="s">
        <v>32</v>
      </c>
      <c r="G90" s="2" t="s">
        <v>23</v>
      </c>
      <c r="H90" t="s">
        <v>413</v>
      </c>
      <c r="I90" t="s">
        <v>414</v>
      </c>
      <c r="J90" t="s">
        <v>415</v>
      </c>
      <c r="K90" t="s">
        <v>416</v>
      </c>
      <c r="L90">
        <v>202.13</v>
      </c>
      <c r="M90" t="str" cm="1">
        <f t="array" ref="M90">_xlfn.IFS(L90&lt;=101,"15a101minutos",
AND(L90&gt;101,L90&lt;=188),"102a188minutos",L90&gt;188,"189a274minutos")</f>
        <v>189a274minutos</v>
      </c>
    </row>
    <row r="91" spans="1:13" x14ac:dyDescent="0.25">
      <c r="A91" s="2" t="s">
        <v>245</v>
      </c>
      <c r="B91" s="2" t="s">
        <v>40</v>
      </c>
      <c r="C91" s="2" t="s">
        <v>41</v>
      </c>
      <c r="D91" s="2" t="s">
        <v>30</v>
      </c>
      <c r="E91" s="2" t="s">
        <v>31</v>
      </c>
      <c r="F91" s="2" t="s">
        <v>22</v>
      </c>
      <c r="G91" s="2" t="s">
        <v>33</v>
      </c>
      <c r="H91" t="s">
        <v>417</v>
      </c>
      <c r="I91" t="s">
        <v>418</v>
      </c>
      <c r="J91" t="s">
        <v>419</v>
      </c>
      <c r="K91" t="s">
        <v>420</v>
      </c>
      <c r="L91">
        <v>100.4</v>
      </c>
      <c r="M91" t="str" cm="1">
        <f t="array" ref="M91">_xlfn.IFS(L91&lt;=101,"15a101minutos",
AND(L91&gt;101,L91&lt;=188),"102a188minutos",L91&gt;188,"189a274minutos")</f>
        <v>15a101minutos</v>
      </c>
    </row>
    <row r="92" spans="1:13" x14ac:dyDescent="0.25">
      <c r="A92" s="2" t="s">
        <v>251</v>
      </c>
      <c r="B92" s="2" t="s">
        <v>18</v>
      </c>
      <c r="C92" s="2" t="s">
        <v>49</v>
      </c>
      <c r="D92" s="2" t="s">
        <v>20</v>
      </c>
      <c r="E92" s="2" t="s">
        <v>21</v>
      </c>
      <c r="F92" s="2" t="s">
        <v>32</v>
      </c>
      <c r="G92" s="2" t="s">
        <v>33</v>
      </c>
      <c r="H92" t="s">
        <v>421</v>
      </c>
      <c r="I92" t="s">
        <v>422</v>
      </c>
      <c r="J92" t="s">
        <v>423</v>
      </c>
      <c r="K92" t="s">
        <v>424</v>
      </c>
      <c r="L92">
        <v>160.82</v>
      </c>
      <c r="M92" t="str" cm="1">
        <f t="array" ref="M92">_xlfn.IFS(L92&lt;=101,"15a101minutos",
AND(L92&gt;101,L92&lt;=188),"102a188minutos",L92&gt;188,"189a274minutos")</f>
        <v>102a188minutos</v>
      </c>
    </row>
    <row r="93" spans="1:13" x14ac:dyDescent="0.25">
      <c r="A93" s="2" t="s">
        <v>257</v>
      </c>
      <c r="B93" s="2" t="s">
        <v>18</v>
      </c>
      <c r="C93" s="2" t="s">
        <v>76</v>
      </c>
      <c r="D93" s="2" t="s">
        <v>20</v>
      </c>
      <c r="E93" s="2" t="s">
        <v>21</v>
      </c>
      <c r="F93" s="2" t="s">
        <v>32</v>
      </c>
      <c r="G93" s="2" t="s">
        <v>23</v>
      </c>
      <c r="H93" t="s">
        <v>425</v>
      </c>
      <c r="I93" t="s">
        <v>426</v>
      </c>
      <c r="J93" t="s">
        <v>427</v>
      </c>
      <c r="K93" t="s">
        <v>428</v>
      </c>
      <c r="L93">
        <v>168.55</v>
      </c>
      <c r="M93" t="str" cm="1">
        <f t="array" ref="M93">_xlfn.IFS(L93&lt;=101,"15a101minutos",
AND(L93&gt;101,L93&lt;=188),"102a188minutos",L93&gt;188,"189a274minutos")</f>
        <v>102a188minutos</v>
      </c>
    </row>
    <row r="94" spans="1:13" x14ac:dyDescent="0.25">
      <c r="A94" s="2" t="s">
        <v>263</v>
      </c>
      <c r="B94" s="2" t="s">
        <v>40</v>
      </c>
      <c r="C94" s="2" t="s">
        <v>19</v>
      </c>
      <c r="D94" s="2" t="s">
        <v>20</v>
      </c>
      <c r="E94" s="2" t="s">
        <v>31</v>
      </c>
      <c r="F94" s="2" t="s">
        <v>22</v>
      </c>
      <c r="G94" s="2" t="s">
        <v>23</v>
      </c>
      <c r="H94" t="s">
        <v>429</v>
      </c>
      <c r="I94" t="s">
        <v>430</v>
      </c>
      <c r="J94" t="s">
        <v>431</v>
      </c>
      <c r="K94" t="s">
        <v>432</v>
      </c>
      <c r="L94">
        <v>63.61</v>
      </c>
      <c r="M94" t="str" cm="1">
        <f t="array" ref="M94">_xlfn.IFS(L94&lt;=101,"15a101minutos",
AND(L94&gt;101,L94&lt;=188),"102a188minutos",L94&gt;188,"189a274minutos")</f>
        <v>15a101minutos</v>
      </c>
    </row>
    <row r="95" spans="1:13" x14ac:dyDescent="0.25">
      <c r="A95" s="2" t="s">
        <v>13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 t="s">
        <v>23</v>
      </c>
      <c r="H95" t="s">
        <v>268</v>
      </c>
      <c r="I95" t="s">
        <v>269</v>
      </c>
      <c r="J95" t="s">
        <v>270</v>
      </c>
      <c r="K95" t="s">
        <v>271</v>
      </c>
      <c r="L95">
        <v>66.760000000000005</v>
      </c>
      <c r="M95" t="str" cm="1">
        <f t="array" ref="M95">_xlfn.IFS(L95&lt;=101,"15a101minutos",
AND(L95&gt;101,L95&lt;=188),"102a188minutos",L95&gt;188,"189a274minutos")</f>
        <v>15a101minutos</v>
      </c>
    </row>
    <row r="96" spans="1:13" x14ac:dyDescent="0.25">
      <c r="A96" s="2" t="s">
        <v>25</v>
      </c>
      <c r="B96" s="2" t="s">
        <v>18</v>
      </c>
      <c r="C96" s="2" t="s">
        <v>19</v>
      </c>
      <c r="D96" s="2" t="s">
        <v>30</v>
      </c>
      <c r="E96" s="2" t="s">
        <v>31</v>
      </c>
      <c r="F96" s="2" t="s">
        <v>32</v>
      </c>
      <c r="G96" s="2" t="s">
        <v>33</v>
      </c>
      <c r="H96" t="s">
        <v>272</v>
      </c>
      <c r="I96" t="s">
        <v>273</v>
      </c>
      <c r="J96" t="s">
        <v>274</v>
      </c>
      <c r="K96" t="s">
        <v>275</v>
      </c>
      <c r="L96">
        <v>114.29</v>
      </c>
      <c r="M96" t="str" cm="1">
        <f t="array" ref="M96">_xlfn.IFS(L96&lt;=101,"15a101minutos",
AND(L96&gt;101,L96&lt;=188),"102a188minutos",L96&gt;188,"189a274minutos")</f>
        <v>102a188minutos</v>
      </c>
    </row>
    <row r="97" spans="1:13" x14ac:dyDescent="0.25">
      <c r="A97" s="2" t="s">
        <v>35</v>
      </c>
      <c r="B97" s="2" t="s">
        <v>40</v>
      </c>
      <c r="C97" s="2" t="s">
        <v>41</v>
      </c>
      <c r="D97" s="2" t="s">
        <v>42</v>
      </c>
      <c r="E97" s="2" t="s">
        <v>31</v>
      </c>
      <c r="F97" s="2" t="s">
        <v>22</v>
      </c>
      <c r="G97" s="2" t="s">
        <v>23</v>
      </c>
      <c r="H97" t="s">
        <v>276</v>
      </c>
      <c r="I97" t="s">
        <v>277</v>
      </c>
      <c r="J97" t="s">
        <v>278</v>
      </c>
      <c r="K97" t="s">
        <v>279</v>
      </c>
      <c r="L97">
        <v>147.93</v>
      </c>
      <c r="M97" t="str" cm="1">
        <f t="array" ref="M97">_xlfn.IFS(L97&lt;=101,"15a101minutos",
AND(L97&gt;101,L97&lt;=188),"102a188minutos",L97&gt;188,"189a274minutos")</f>
        <v>102a188minutos</v>
      </c>
    </row>
    <row r="98" spans="1:13" x14ac:dyDescent="0.25">
      <c r="A98" s="2" t="s">
        <v>44</v>
      </c>
      <c r="B98" s="2" t="s">
        <v>18</v>
      </c>
      <c r="C98" s="2" t="s">
        <v>49</v>
      </c>
      <c r="D98" s="2" t="s">
        <v>42</v>
      </c>
      <c r="E98" s="2" t="s">
        <v>50</v>
      </c>
      <c r="F98" s="2" t="s">
        <v>32</v>
      </c>
      <c r="G98" s="2" t="s">
        <v>23</v>
      </c>
      <c r="H98" t="s">
        <v>280</v>
      </c>
      <c r="I98" t="s">
        <v>281</v>
      </c>
      <c r="J98" t="s">
        <v>282</v>
      </c>
      <c r="K98" t="s">
        <v>283</v>
      </c>
      <c r="L98">
        <v>187.39</v>
      </c>
      <c r="M98" t="str" cm="1">
        <f t="array" ref="M98">_xlfn.IFS(L98&lt;=101,"15a101minutos",
AND(L98&gt;101,L98&lt;=188),"102a188minutos",L98&gt;188,"189a274minutos")</f>
        <v>102a188minutos</v>
      </c>
    </row>
    <row r="99" spans="1:13" x14ac:dyDescent="0.25">
      <c r="A99" s="2" t="s">
        <v>52</v>
      </c>
      <c r="B99" s="2" t="s">
        <v>18</v>
      </c>
      <c r="C99" s="2" t="s">
        <v>19</v>
      </c>
      <c r="D99" s="2" t="s">
        <v>42</v>
      </c>
      <c r="E99" s="2" t="s">
        <v>21</v>
      </c>
      <c r="F99" s="2" t="s">
        <v>32</v>
      </c>
      <c r="G99" s="2" t="s">
        <v>33</v>
      </c>
      <c r="H99" t="s">
        <v>284</v>
      </c>
      <c r="I99" t="s">
        <v>285</v>
      </c>
      <c r="J99" t="s">
        <v>286</v>
      </c>
      <c r="K99" t="s">
        <v>287</v>
      </c>
      <c r="L99">
        <v>113.83</v>
      </c>
      <c r="M99" t="str" cm="1">
        <f t="array" ref="M99">_xlfn.IFS(L99&lt;=101,"15a101minutos",
AND(L99&gt;101,L99&lt;=188),"102a188minutos",L99&gt;188,"189a274minutos")</f>
        <v>102a188minutos</v>
      </c>
    </row>
    <row r="100" spans="1:13" x14ac:dyDescent="0.25">
      <c r="A100" s="2" t="s">
        <v>58</v>
      </c>
      <c r="B100" s="2" t="s">
        <v>63</v>
      </c>
      <c r="C100" s="2" t="s">
        <v>49</v>
      </c>
      <c r="D100" s="2" t="s">
        <v>20</v>
      </c>
      <c r="E100" s="2" t="s">
        <v>21</v>
      </c>
      <c r="F100" s="2" t="s">
        <v>22</v>
      </c>
      <c r="G100" s="2" t="s">
        <v>23</v>
      </c>
      <c r="H100" t="s">
        <v>288</v>
      </c>
      <c r="I100" t="s">
        <v>289</v>
      </c>
      <c r="J100" t="s">
        <v>290</v>
      </c>
      <c r="K100" t="s">
        <v>291</v>
      </c>
      <c r="L100">
        <v>141.44999999999999</v>
      </c>
      <c r="M100" t="str" cm="1">
        <f t="array" ref="M100">_xlfn.IFS(L100&lt;=101,"15a101minutos",
AND(L100&gt;101,L100&lt;=188),"102a188minutos",L100&gt;188,"189a274minutos")</f>
        <v>102a188minutos</v>
      </c>
    </row>
    <row r="101" spans="1:13" x14ac:dyDescent="0.25">
      <c r="A101" s="2" t="s">
        <v>65</v>
      </c>
      <c r="B101" s="2" t="s">
        <v>40</v>
      </c>
      <c r="C101" s="2" t="s">
        <v>41</v>
      </c>
      <c r="D101" s="2" t="s">
        <v>20</v>
      </c>
      <c r="E101" s="2" t="s">
        <v>50</v>
      </c>
      <c r="F101" s="2" t="s">
        <v>22</v>
      </c>
      <c r="G101" s="2" t="s">
        <v>23</v>
      </c>
      <c r="H101" t="s">
        <v>292</v>
      </c>
      <c r="I101" t="s">
        <v>293</v>
      </c>
      <c r="J101" t="s">
        <v>294</v>
      </c>
      <c r="K101" t="s">
        <v>295</v>
      </c>
      <c r="L101">
        <v>225.5</v>
      </c>
      <c r="M101" t="str" cm="1">
        <f t="array" ref="M101">_xlfn.IFS(L101&lt;=101,"15a101minutos",
AND(L101&gt;101,L101&lt;=188),"102a188minutos",L101&gt;188,"189a274minutos")</f>
        <v>189a274minutos</v>
      </c>
    </row>
    <row r="102" spans="1:13" x14ac:dyDescent="0.25">
      <c r="A102" s="2" t="s">
        <v>71</v>
      </c>
      <c r="B102" s="2" t="s">
        <v>40</v>
      </c>
      <c r="C102" s="2" t="s">
        <v>76</v>
      </c>
      <c r="D102" s="2" t="s">
        <v>20</v>
      </c>
      <c r="E102" s="2" t="s">
        <v>50</v>
      </c>
      <c r="F102" s="2" t="s">
        <v>22</v>
      </c>
      <c r="G102" s="2" t="s">
        <v>23</v>
      </c>
      <c r="H102" t="s">
        <v>296</v>
      </c>
      <c r="I102" t="s">
        <v>297</v>
      </c>
      <c r="J102" t="s">
        <v>298</v>
      </c>
      <c r="K102" t="s">
        <v>299</v>
      </c>
      <c r="L102">
        <v>15.82</v>
      </c>
      <c r="M102" t="str" cm="1">
        <f t="array" ref="M102">_xlfn.IFS(L102&lt;=101,"15a101minutos",
AND(L102&gt;101,L102&lt;=188),"102a188minutos",L102&gt;188,"189a274minutos")</f>
        <v>15a101minutos</v>
      </c>
    </row>
    <row r="103" spans="1:13" x14ac:dyDescent="0.25">
      <c r="A103" s="2" t="s">
        <v>78</v>
      </c>
      <c r="B103" s="2" t="s">
        <v>40</v>
      </c>
      <c r="C103" s="2" t="s">
        <v>19</v>
      </c>
      <c r="D103" s="2" t="s">
        <v>20</v>
      </c>
      <c r="E103" s="2" t="s">
        <v>21</v>
      </c>
      <c r="F103" s="2" t="s">
        <v>22</v>
      </c>
      <c r="G103" s="2" t="s">
        <v>23</v>
      </c>
      <c r="H103" t="s">
        <v>300</v>
      </c>
      <c r="I103" t="s">
        <v>301</v>
      </c>
      <c r="J103" t="s">
        <v>302</v>
      </c>
      <c r="K103" t="s">
        <v>303</v>
      </c>
      <c r="L103">
        <v>79.47</v>
      </c>
      <c r="M103" t="str" cm="1">
        <f t="array" ref="M103">_xlfn.IFS(L103&lt;=101,"15a101minutos",
AND(L103&gt;101,L103&lt;=188),"102a188minutos",L103&gt;188,"189a274minutos")</f>
        <v>15a101minutos</v>
      </c>
    </row>
    <row r="104" spans="1:13" x14ac:dyDescent="0.25">
      <c r="A104" s="2" t="s">
        <v>84</v>
      </c>
      <c r="B104" s="2" t="s">
        <v>18</v>
      </c>
      <c r="C104" s="2" t="s">
        <v>49</v>
      </c>
      <c r="D104" s="2" t="s">
        <v>42</v>
      </c>
      <c r="E104" s="2" t="s">
        <v>31</v>
      </c>
      <c r="F104" s="2" t="s">
        <v>22</v>
      </c>
      <c r="G104" s="2" t="s">
        <v>33</v>
      </c>
      <c r="H104" t="s">
        <v>304</v>
      </c>
      <c r="I104" t="s">
        <v>305</v>
      </c>
      <c r="J104" t="s">
        <v>306</v>
      </c>
      <c r="K104" t="s">
        <v>307</v>
      </c>
      <c r="L104">
        <v>215.44</v>
      </c>
      <c r="M104" t="str" cm="1">
        <f t="array" ref="M104">_xlfn.IFS(L104&lt;=101,"15a101minutos",
AND(L104&gt;101,L104&lt;=188),"102a188minutos",L104&gt;188,"189a274minutos")</f>
        <v>189a274minutos</v>
      </c>
    </row>
    <row r="105" spans="1:13" x14ac:dyDescent="0.25">
      <c r="A105" s="2" t="s">
        <v>90</v>
      </c>
      <c r="B105" s="2" t="s">
        <v>63</v>
      </c>
      <c r="C105" s="2" t="s">
        <v>19</v>
      </c>
      <c r="D105" s="2" t="s">
        <v>30</v>
      </c>
      <c r="E105" s="2" t="s">
        <v>50</v>
      </c>
      <c r="F105" s="2" t="s">
        <v>32</v>
      </c>
      <c r="G105" s="2" t="s">
        <v>33</v>
      </c>
      <c r="H105" t="s">
        <v>308</v>
      </c>
      <c r="I105" t="s">
        <v>309</v>
      </c>
      <c r="J105" t="s">
        <v>310</v>
      </c>
      <c r="K105" t="s">
        <v>311</v>
      </c>
      <c r="L105">
        <v>237.84</v>
      </c>
      <c r="M105" t="str" cm="1">
        <f t="array" ref="M105">_xlfn.IFS(L105&lt;=101,"15a101minutos",
AND(L105&gt;101,L105&lt;=188),"102a188minutos",L105&gt;188,"189a274minutos")</f>
        <v>189a274minutos</v>
      </c>
    </row>
    <row r="106" spans="1:13" x14ac:dyDescent="0.25">
      <c r="A106" s="2" t="s">
        <v>96</v>
      </c>
      <c r="B106" s="2" t="s">
        <v>18</v>
      </c>
      <c r="C106" s="2" t="s">
        <v>76</v>
      </c>
      <c r="D106" s="2" t="s">
        <v>42</v>
      </c>
      <c r="E106" s="2" t="s">
        <v>21</v>
      </c>
      <c r="F106" s="2" t="s">
        <v>22</v>
      </c>
      <c r="G106" s="2" t="s">
        <v>33</v>
      </c>
      <c r="H106" t="s">
        <v>312</v>
      </c>
      <c r="I106" t="s">
        <v>313</v>
      </c>
      <c r="J106" t="s">
        <v>314</v>
      </c>
      <c r="K106" t="s">
        <v>315</v>
      </c>
      <c r="L106">
        <v>73.849999999999994</v>
      </c>
      <c r="M106" t="str" cm="1">
        <f t="array" ref="M106">_xlfn.IFS(L106&lt;=101,"15a101minutos",
AND(L106&gt;101,L106&lt;=188),"102a188minutos",L106&gt;188,"189a274minutos")</f>
        <v>15a101minutos</v>
      </c>
    </row>
    <row r="107" spans="1:13" x14ac:dyDescent="0.25">
      <c r="A107" s="2" t="s">
        <v>102</v>
      </c>
      <c r="B107" s="2" t="s">
        <v>18</v>
      </c>
      <c r="C107" s="2" t="s">
        <v>76</v>
      </c>
      <c r="D107" s="2" t="s">
        <v>30</v>
      </c>
      <c r="E107" s="2" t="s">
        <v>21</v>
      </c>
      <c r="F107" s="2" t="s">
        <v>32</v>
      </c>
      <c r="G107" s="2" t="s">
        <v>33</v>
      </c>
      <c r="H107" t="s">
        <v>316</v>
      </c>
      <c r="I107" t="s">
        <v>317</v>
      </c>
      <c r="J107" t="s">
        <v>318</v>
      </c>
      <c r="K107" t="s">
        <v>319</v>
      </c>
      <c r="L107">
        <v>19.670000000000002</v>
      </c>
      <c r="M107" t="str" cm="1">
        <f t="array" ref="M107">_xlfn.IFS(L107&lt;=101,"15a101minutos",
AND(L107&gt;101,L107&lt;=188),"102a188minutos",L107&gt;188,"189a274minutos")</f>
        <v>15a101minutos</v>
      </c>
    </row>
    <row r="108" spans="1:13" x14ac:dyDescent="0.25">
      <c r="A108" s="2" t="s">
        <v>108</v>
      </c>
      <c r="B108" s="2" t="s">
        <v>63</v>
      </c>
      <c r="C108" s="2" t="s">
        <v>49</v>
      </c>
      <c r="D108" s="2" t="s">
        <v>20</v>
      </c>
      <c r="E108" s="2" t="s">
        <v>21</v>
      </c>
      <c r="F108" s="2" t="s">
        <v>32</v>
      </c>
      <c r="G108" s="2" t="s">
        <v>33</v>
      </c>
      <c r="H108" t="s">
        <v>320</v>
      </c>
      <c r="I108" t="s">
        <v>321</v>
      </c>
      <c r="J108" t="s">
        <v>322</v>
      </c>
      <c r="K108" t="s">
        <v>323</v>
      </c>
      <c r="L108">
        <v>142.03</v>
      </c>
      <c r="M108" t="str" cm="1">
        <f t="array" ref="M108">_xlfn.IFS(L108&lt;=101,"15a101minutos",
AND(L108&gt;101,L108&lt;=188),"102a188minutos",L108&gt;188,"189a274minutos")</f>
        <v>102a188minutos</v>
      </c>
    </row>
    <row r="109" spans="1:13" x14ac:dyDescent="0.25">
      <c r="A109" s="2" t="s">
        <v>114</v>
      </c>
      <c r="B109" s="2" t="s">
        <v>63</v>
      </c>
      <c r="C109" s="2" t="s">
        <v>41</v>
      </c>
      <c r="D109" s="2" t="s">
        <v>20</v>
      </c>
      <c r="E109" s="2" t="s">
        <v>31</v>
      </c>
      <c r="F109" s="2" t="s">
        <v>32</v>
      </c>
      <c r="G109" s="2" t="s">
        <v>33</v>
      </c>
      <c r="H109" t="s">
        <v>324</v>
      </c>
      <c r="I109" t="s">
        <v>325</v>
      </c>
      <c r="J109" t="s">
        <v>326</v>
      </c>
      <c r="K109" t="s">
        <v>327</v>
      </c>
      <c r="L109">
        <v>37.53</v>
      </c>
      <c r="M109" t="str" cm="1">
        <f t="array" ref="M109">_xlfn.IFS(L109&lt;=101,"15a101minutos",
AND(L109&gt;101,L109&lt;=188),"102a188minutos",L109&gt;188,"189a274minutos")</f>
        <v>15a101minutos</v>
      </c>
    </row>
    <row r="110" spans="1:13" x14ac:dyDescent="0.25">
      <c r="A110" s="2" t="s">
        <v>120</v>
      </c>
      <c r="B110" s="2" t="s">
        <v>40</v>
      </c>
      <c r="C110" s="2" t="s">
        <v>76</v>
      </c>
      <c r="D110" s="2" t="s">
        <v>42</v>
      </c>
      <c r="E110" s="2" t="s">
        <v>50</v>
      </c>
      <c r="F110" s="2" t="s">
        <v>32</v>
      </c>
      <c r="G110" s="2" t="s">
        <v>33</v>
      </c>
      <c r="H110" t="s">
        <v>328</v>
      </c>
      <c r="I110" t="s">
        <v>329</v>
      </c>
      <c r="J110" t="s">
        <v>330</v>
      </c>
      <c r="K110" t="s">
        <v>331</v>
      </c>
      <c r="L110">
        <v>126.44</v>
      </c>
      <c r="M110" t="str" cm="1">
        <f t="array" ref="M110">_xlfn.IFS(L110&lt;=101,"15a101minutos",
AND(L110&gt;101,L110&lt;=188),"102a188minutos",L110&gt;188,"189a274minutos")</f>
        <v>102a188minutos</v>
      </c>
    </row>
    <row r="111" spans="1:13" x14ac:dyDescent="0.25">
      <c r="A111" s="2" t="s">
        <v>209</v>
      </c>
      <c r="B111" s="2" t="s">
        <v>18</v>
      </c>
      <c r="C111" s="2" t="s">
        <v>19</v>
      </c>
      <c r="D111" s="2" t="s">
        <v>20</v>
      </c>
      <c r="E111" s="2" t="s">
        <v>21</v>
      </c>
      <c r="F111" s="2" t="s">
        <v>32</v>
      </c>
      <c r="G111" s="2" t="s">
        <v>33</v>
      </c>
      <c r="H111" t="s">
        <v>393</v>
      </c>
      <c r="I111" t="s">
        <v>394</v>
      </c>
      <c r="J111" t="s">
        <v>395</v>
      </c>
      <c r="K111" t="s">
        <v>396</v>
      </c>
      <c r="L111">
        <v>45.39</v>
      </c>
      <c r="M111" t="str" cm="1">
        <f t="array" ref="M111">_xlfn.IFS(L111&lt;=101,"15a101minutos",
AND(L111&gt;101,L111&lt;=188),"102a188minutos",L111&gt;188,"189a274minutos")</f>
        <v>15a101minutos</v>
      </c>
    </row>
    <row r="112" spans="1:13" x14ac:dyDescent="0.25">
      <c r="A112" s="2" t="s">
        <v>215</v>
      </c>
      <c r="B112" s="2" t="s">
        <v>40</v>
      </c>
      <c r="C112" s="2" t="s">
        <v>41</v>
      </c>
      <c r="D112" s="2" t="s">
        <v>42</v>
      </c>
      <c r="E112" s="2" t="s">
        <v>31</v>
      </c>
      <c r="F112" s="2" t="s">
        <v>32</v>
      </c>
      <c r="G112" s="2" t="s">
        <v>33</v>
      </c>
      <c r="H112" t="s">
        <v>397</v>
      </c>
      <c r="I112" t="s">
        <v>398</v>
      </c>
      <c r="J112" t="s">
        <v>399</v>
      </c>
      <c r="K112" t="s">
        <v>400</v>
      </c>
      <c r="L112">
        <v>153.6</v>
      </c>
      <c r="M112" t="str" cm="1">
        <f t="array" ref="M112">_xlfn.IFS(L112&lt;=101,"15a101minutos",
AND(L112&gt;101,L112&lt;=188),"102a188minutos",L112&gt;188,"189a274minutos")</f>
        <v>102a188minutos</v>
      </c>
    </row>
    <row r="113" spans="1:13" x14ac:dyDescent="0.25">
      <c r="A113" s="2" t="s">
        <v>221</v>
      </c>
      <c r="B113" s="2" t="s">
        <v>40</v>
      </c>
      <c r="C113" s="2" t="s">
        <v>49</v>
      </c>
      <c r="D113" s="2" t="s">
        <v>20</v>
      </c>
      <c r="E113" s="2" t="s">
        <v>31</v>
      </c>
      <c r="F113" s="2" t="s">
        <v>22</v>
      </c>
      <c r="G113" s="2" t="s">
        <v>23</v>
      </c>
      <c r="H113" t="s">
        <v>401</v>
      </c>
      <c r="I113" t="s">
        <v>402</v>
      </c>
      <c r="J113" t="s">
        <v>403</v>
      </c>
      <c r="K113" t="s">
        <v>404</v>
      </c>
      <c r="L113">
        <v>19.97</v>
      </c>
      <c r="M113" t="str" cm="1">
        <f t="array" ref="M113">_xlfn.IFS(L113&lt;=101,"15a101minutos",
AND(L113&gt;101,L113&lt;=188),"102a188minutos",L113&gt;188,"189a274minutos")</f>
        <v>15a101minutos</v>
      </c>
    </row>
    <row r="114" spans="1:13" x14ac:dyDescent="0.25">
      <c r="A114" s="2" t="s">
        <v>227</v>
      </c>
      <c r="B114" s="2" t="s">
        <v>40</v>
      </c>
      <c r="C114" s="2" t="s">
        <v>76</v>
      </c>
      <c r="D114" s="2" t="s">
        <v>20</v>
      </c>
      <c r="E114" s="2" t="s">
        <v>21</v>
      </c>
      <c r="F114" s="2" t="s">
        <v>32</v>
      </c>
      <c r="G114" s="2" t="s">
        <v>33</v>
      </c>
      <c r="H114" t="s">
        <v>405</v>
      </c>
      <c r="I114" t="s">
        <v>406</v>
      </c>
      <c r="J114" t="s">
        <v>407</v>
      </c>
      <c r="K114" t="s">
        <v>408</v>
      </c>
      <c r="L114">
        <v>273.7</v>
      </c>
      <c r="M114" t="str" cm="1">
        <f t="array" ref="M114">_xlfn.IFS(L114&lt;=101,"15a101minutos",
AND(L114&gt;101,L114&lt;=188),"102a188minutos",L114&gt;188,"189a274minutos")</f>
        <v>189a274minutos</v>
      </c>
    </row>
    <row r="115" spans="1:13" x14ac:dyDescent="0.25">
      <c r="A115" s="2" t="s">
        <v>233</v>
      </c>
      <c r="B115" s="2" t="s">
        <v>40</v>
      </c>
      <c r="C115" s="2" t="s">
        <v>41</v>
      </c>
      <c r="D115" s="2" t="s">
        <v>20</v>
      </c>
      <c r="E115" s="2" t="s">
        <v>21</v>
      </c>
      <c r="F115" s="2" t="s">
        <v>22</v>
      </c>
      <c r="G115" s="2" t="s">
        <v>23</v>
      </c>
      <c r="H115" t="s">
        <v>409</v>
      </c>
      <c r="I115" t="s">
        <v>410</v>
      </c>
      <c r="J115" t="s">
        <v>411</v>
      </c>
      <c r="K115" t="s">
        <v>412</v>
      </c>
      <c r="L115">
        <v>85.05</v>
      </c>
      <c r="M115" t="str" cm="1">
        <f t="array" ref="M115">_xlfn.IFS(L115&lt;=101,"15a101minutos",
AND(L115&gt;101,L115&lt;=188),"102a188minutos",L115&gt;188,"189a274minutos")</f>
        <v>15a101minutos</v>
      </c>
    </row>
    <row r="116" spans="1:13" x14ac:dyDescent="0.25">
      <c r="A116" s="2" t="s">
        <v>239</v>
      </c>
      <c r="B116" s="2" t="s">
        <v>40</v>
      </c>
      <c r="C116" s="2" t="s">
        <v>49</v>
      </c>
      <c r="D116" s="2" t="s">
        <v>20</v>
      </c>
      <c r="E116" s="2" t="s">
        <v>21</v>
      </c>
      <c r="F116" s="2" t="s">
        <v>32</v>
      </c>
      <c r="G116" s="2" t="s">
        <v>23</v>
      </c>
      <c r="H116" t="s">
        <v>413</v>
      </c>
      <c r="I116" t="s">
        <v>414</v>
      </c>
      <c r="J116" t="s">
        <v>415</v>
      </c>
      <c r="K116" t="s">
        <v>416</v>
      </c>
      <c r="L116">
        <v>202.13</v>
      </c>
      <c r="M116" t="str" cm="1">
        <f t="array" ref="M116">_xlfn.IFS(L116&lt;=101,"15a101minutos",
AND(L116&gt;101,L116&lt;=188),"102a188minutos",L116&gt;188,"189a274minutos")</f>
        <v>189a274minutos</v>
      </c>
    </row>
    <row r="117" spans="1:13" x14ac:dyDescent="0.25">
      <c r="A117" s="2" t="s">
        <v>245</v>
      </c>
      <c r="B117" s="2" t="s">
        <v>40</v>
      </c>
      <c r="C117" s="2" t="s">
        <v>41</v>
      </c>
      <c r="D117" s="2" t="s">
        <v>30</v>
      </c>
      <c r="E117" s="2" t="s">
        <v>31</v>
      </c>
      <c r="F117" s="2" t="s">
        <v>22</v>
      </c>
      <c r="G117" s="2" t="s">
        <v>33</v>
      </c>
      <c r="H117" t="s">
        <v>417</v>
      </c>
      <c r="I117" t="s">
        <v>418</v>
      </c>
      <c r="J117" t="s">
        <v>419</v>
      </c>
      <c r="K117" t="s">
        <v>420</v>
      </c>
      <c r="L117">
        <v>100.4</v>
      </c>
      <c r="M117" t="str" cm="1">
        <f t="array" ref="M117">_xlfn.IFS(L117&lt;=101,"15a101minutos",
AND(L117&gt;101,L117&lt;=188),"102a188minutos",L117&gt;188,"189a274minutos")</f>
        <v>15a101minutos</v>
      </c>
    </row>
    <row r="118" spans="1:13" x14ac:dyDescent="0.25">
      <c r="A118" s="2" t="s">
        <v>251</v>
      </c>
      <c r="B118" s="2" t="s">
        <v>18</v>
      </c>
      <c r="C118" s="2" t="s">
        <v>49</v>
      </c>
      <c r="D118" s="2" t="s">
        <v>20</v>
      </c>
      <c r="E118" s="2" t="s">
        <v>21</v>
      </c>
      <c r="F118" s="2" t="s">
        <v>32</v>
      </c>
      <c r="G118" s="2" t="s">
        <v>33</v>
      </c>
      <c r="H118" t="s">
        <v>421</v>
      </c>
      <c r="I118" t="s">
        <v>422</v>
      </c>
      <c r="J118" t="s">
        <v>423</v>
      </c>
      <c r="K118" t="s">
        <v>424</v>
      </c>
      <c r="L118">
        <v>160.82</v>
      </c>
      <c r="M118" t="str" cm="1">
        <f t="array" ref="M118">_xlfn.IFS(L118&lt;=101,"15a101minutos",
AND(L118&gt;101,L118&lt;=188),"102a188minutos",L118&gt;188,"189a274minutos")</f>
        <v>102a188minutos</v>
      </c>
    </row>
    <row r="119" spans="1:13" x14ac:dyDescent="0.25">
      <c r="A119" s="2" t="s">
        <v>257</v>
      </c>
      <c r="B119" s="2" t="s">
        <v>18</v>
      </c>
      <c r="C119" s="2" t="s">
        <v>76</v>
      </c>
      <c r="D119" s="2" t="s">
        <v>20</v>
      </c>
      <c r="E119" s="2" t="s">
        <v>21</v>
      </c>
      <c r="F119" s="2" t="s">
        <v>32</v>
      </c>
      <c r="G119" s="2" t="s">
        <v>23</v>
      </c>
      <c r="H119" t="s">
        <v>425</v>
      </c>
      <c r="I119" t="s">
        <v>426</v>
      </c>
      <c r="J119" t="s">
        <v>427</v>
      </c>
      <c r="K119" t="s">
        <v>428</v>
      </c>
      <c r="L119">
        <v>168.55</v>
      </c>
      <c r="M119" t="str" cm="1">
        <f t="array" ref="M119">_xlfn.IFS(L119&lt;=101,"15a101minutos",
AND(L119&gt;101,L119&lt;=188),"102a188minutos",L119&gt;188,"189a274minutos")</f>
        <v>102a188minutos</v>
      </c>
    </row>
    <row r="120" spans="1:13" x14ac:dyDescent="0.25">
      <c r="A120" s="2" t="s">
        <v>263</v>
      </c>
      <c r="B120" s="2" t="s">
        <v>40</v>
      </c>
      <c r="C120" s="2" t="s">
        <v>19</v>
      </c>
      <c r="D120" s="2" t="s">
        <v>20</v>
      </c>
      <c r="E120" s="2" t="s">
        <v>31</v>
      </c>
      <c r="F120" s="2" t="s">
        <v>22</v>
      </c>
      <c r="G120" s="2" t="s">
        <v>23</v>
      </c>
      <c r="H120" t="s">
        <v>429</v>
      </c>
      <c r="I120" t="s">
        <v>430</v>
      </c>
      <c r="J120" t="s">
        <v>431</v>
      </c>
      <c r="K120" t="s">
        <v>432</v>
      </c>
      <c r="L120">
        <v>63.61</v>
      </c>
      <c r="M120" t="str" cm="1">
        <f t="array" ref="M120">_xlfn.IFS(L120&lt;=101,"15a101minutos",
AND(L120&gt;101,L120&lt;=188),"102a188minutos",L120&gt;188,"189a274minutos")</f>
        <v>15a101minutos</v>
      </c>
    </row>
    <row r="121" spans="1:13" x14ac:dyDescent="0.25">
      <c r="A121" s="2" t="s">
        <v>13</v>
      </c>
      <c r="B121" s="2" t="s">
        <v>18</v>
      </c>
      <c r="C121" s="2" t="s">
        <v>19</v>
      </c>
      <c r="D121" s="2" t="s">
        <v>20</v>
      </c>
      <c r="E121" s="2" t="s">
        <v>21</v>
      </c>
      <c r="F121" s="2" t="s">
        <v>22</v>
      </c>
      <c r="G121" s="2" t="s">
        <v>23</v>
      </c>
      <c r="H121" t="s">
        <v>268</v>
      </c>
      <c r="I121" t="s">
        <v>269</v>
      </c>
      <c r="J121" t="s">
        <v>270</v>
      </c>
      <c r="K121" t="s">
        <v>271</v>
      </c>
      <c r="L121">
        <v>66.760000000000005</v>
      </c>
      <c r="M121" t="str" cm="1">
        <f t="array" ref="M121">_xlfn.IFS(L121&lt;=101,"15a101minutos",
AND(L121&gt;101,L121&lt;=188),"102a188minutos",L121&gt;188,"189a274minutos")</f>
        <v>15a101minutos</v>
      </c>
    </row>
    <row r="122" spans="1:13" x14ac:dyDescent="0.25">
      <c r="A122" s="2" t="s">
        <v>25</v>
      </c>
      <c r="B122" s="2" t="s">
        <v>18</v>
      </c>
      <c r="C122" s="2" t="s">
        <v>19</v>
      </c>
      <c r="D122" s="2" t="s">
        <v>30</v>
      </c>
      <c r="E122" s="2" t="s">
        <v>31</v>
      </c>
      <c r="F122" s="2" t="s">
        <v>32</v>
      </c>
      <c r="G122" s="2" t="s">
        <v>33</v>
      </c>
      <c r="H122" t="s">
        <v>272</v>
      </c>
      <c r="I122" t="s">
        <v>273</v>
      </c>
      <c r="J122" t="s">
        <v>274</v>
      </c>
      <c r="K122" t="s">
        <v>275</v>
      </c>
      <c r="L122">
        <v>114.29</v>
      </c>
      <c r="M122" t="str" cm="1">
        <f t="array" ref="M122">_xlfn.IFS(L122&lt;=101,"15a101minutos",
AND(L122&gt;101,L122&lt;=188),"102a188minutos",L122&gt;188,"189a274minutos")</f>
        <v>102a188minutos</v>
      </c>
    </row>
    <row r="123" spans="1:13" x14ac:dyDescent="0.25">
      <c r="A123" s="2" t="s">
        <v>35</v>
      </c>
      <c r="B123" s="2" t="s">
        <v>40</v>
      </c>
      <c r="C123" s="2" t="s">
        <v>41</v>
      </c>
      <c r="D123" s="2" t="s">
        <v>42</v>
      </c>
      <c r="E123" s="2" t="s">
        <v>31</v>
      </c>
      <c r="F123" s="2" t="s">
        <v>22</v>
      </c>
      <c r="G123" s="2" t="s">
        <v>23</v>
      </c>
      <c r="H123" t="s">
        <v>276</v>
      </c>
      <c r="I123" t="s">
        <v>277</v>
      </c>
      <c r="J123" t="s">
        <v>278</v>
      </c>
      <c r="K123" t="s">
        <v>279</v>
      </c>
      <c r="L123">
        <v>147.93</v>
      </c>
      <c r="M123" t="str" cm="1">
        <f t="array" ref="M123">_xlfn.IFS(L123&lt;=101,"15a101minutos",
AND(L123&gt;101,L123&lt;=188),"102a188minutos",L123&gt;188,"189a274minutos")</f>
        <v>102a188minutos</v>
      </c>
    </row>
    <row r="124" spans="1:13" x14ac:dyDescent="0.25">
      <c r="A124" s="2" t="s">
        <v>44</v>
      </c>
      <c r="B124" s="2" t="s">
        <v>18</v>
      </c>
      <c r="C124" s="2" t="s">
        <v>49</v>
      </c>
      <c r="D124" s="2" t="s">
        <v>42</v>
      </c>
      <c r="E124" s="2" t="s">
        <v>50</v>
      </c>
      <c r="F124" s="2" t="s">
        <v>32</v>
      </c>
      <c r="G124" s="2" t="s">
        <v>23</v>
      </c>
      <c r="H124" t="s">
        <v>280</v>
      </c>
      <c r="I124" t="s">
        <v>281</v>
      </c>
      <c r="J124" t="s">
        <v>282</v>
      </c>
      <c r="K124" t="s">
        <v>283</v>
      </c>
      <c r="L124">
        <v>187.39</v>
      </c>
      <c r="M124" t="str" cm="1">
        <f t="array" ref="M124">_xlfn.IFS(L124&lt;=101,"15a101minutos",
AND(L124&gt;101,L124&lt;=188),"102a188minutos",L124&gt;188,"189a274minutos")</f>
        <v>102a188minutos</v>
      </c>
    </row>
    <row r="125" spans="1:13" x14ac:dyDescent="0.25">
      <c r="A125" s="2" t="s">
        <v>52</v>
      </c>
      <c r="B125" s="2" t="s">
        <v>18</v>
      </c>
      <c r="C125" s="2" t="s">
        <v>19</v>
      </c>
      <c r="D125" s="2" t="s">
        <v>42</v>
      </c>
      <c r="E125" s="2" t="s">
        <v>21</v>
      </c>
      <c r="F125" s="2" t="s">
        <v>32</v>
      </c>
      <c r="G125" s="2" t="s">
        <v>33</v>
      </c>
      <c r="H125" t="s">
        <v>284</v>
      </c>
      <c r="I125" t="s">
        <v>285</v>
      </c>
      <c r="J125" t="s">
        <v>286</v>
      </c>
      <c r="K125" t="s">
        <v>287</v>
      </c>
      <c r="L125">
        <v>113.83</v>
      </c>
      <c r="M125" t="str" cm="1">
        <f t="array" ref="M125">_xlfn.IFS(L125&lt;=101,"15a101minutos",
AND(L125&gt;101,L125&lt;=188),"102a188minutos",L125&gt;188,"189a274minutos")</f>
        <v>102a188minutos</v>
      </c>
    </row>
    <row r="126" spans="1:13" x14ac:dyDescent="0.25">
      <c r="A126" s="2" t="s">
        <v>58</v>
      </c>
      <c r="B126" s="2" t="s">
        <v>63</v>
      </c>
      <c r="C126" s="2" t="s">
        <v>49</v>
      </c>
      <c r="D126" s="2" t="s">
        <v>20</v>
      </c>
      <c r="E126" s="2" t="s">
        <v>21</v>
      </c>
      <c r="F126" s="2" t="s">
        <v>22</v>
      </c>
      <c r="G126" s="2" t="s">
        <v>23</v>
      </c>
      <c r="H126" t="s">
        <v>288</v>
      </c>
      <c r="I126" t="s">
        <v>289</v>
      </c>
      <c r="J126" t="s">
        <v>290</v>
      </c>
      <c r="K126" t="s">
        <v>291</v>
      </c>
      <c r="L126">
        <v>141.44999999999999</v>
      </c>
      <c r="M126" t="str" cm="1">
        <f t="array" ref="M126">_xlfn.IFS(L126&lt;=101,"15a101minutos",
AND(L126&gt;101,L126&lt;=188),"102a188minutos",L126&gt;188,"189a274minutos")</f>
        <v>102a188minutos</v>
      </c>
    </row>
    <row r="127" spans="1:13" x14ac:dyDescent="0.25">
      <c r="A127" s="2" t="s">
        <v>65</v>
      </c>
      <c r="B127" s="2" t="s">
        <v>40</v>
      </c>
      <c r="C127" s="2" t="s">
        <v>41</v>
      </c>
      <c r="D127" s="2" t="s">
        <v>20</v>
      </c>
      <c r="E127" s="2" t="s">
        <v>50</v>
      </c>
      <c r="F127" s="2" t="s">
        <v>22</v>
      </c>
      <c r="G127" s="2" t="s">
        <v>23</v>
      </c>
      <c r="H127" t="s">
        <v>292</v>
      </c>
      <c r="I127" t="s">
        <v>293</v>
      </c>
      <c r="J127" t="s">
        <v>294</v>
      </c>
      <c r="K127" t="s">
        <v>295</v>
      </c>
      <c r="L127">
        <v>225.5</v>
      </c>
      <c r="M127" t="str" cm="1">
        <f t="array" ref="M127">_xlfn.IFS(L127&lt;=101,"15a101minutos",
AND(L127&gt;101,L127&lt;=188),"102a188minutos",L127&gt;188,"189a274minutos")</f>
        <v>189a274minutos</v>
      </c>
    </row>
    <row r="128" spans="1:13" x14ac:dyDescent="0.25">
      <c r="A128" s="2" t="s">
        <v>71</v>
      </c>
      <c r="B128" s="2" t="s">
        <v>40</v>
      </c>
      <c r="C128" s="2" t="s">
        <v>76</v>
      </c>
      <c r="D128" s="2" t="s">
        <v>20</v>
      </c>
      <c r="E128" s="2" t="s">
        <v>50</v>
      </c>
      <c r="F128" s="2" t="s">
        <v>22</v>
      </c>
      <c r="G128" s="2" t="s">
        <v>23</v>
      </c>
      <c r="H128" t="s">
        <v>296</v>
      </c>
      <c r="I128" t="s">
        <v>297</v>
      </c>
      <c r="J128" t="s">
        <v>298</v>
      </c>
      <c r="K128" t="s">
        <v>299</v>
      </c>
      <c r="L128">
        <v>15.82</v>
      </c>
      <c r="M128" t="str" cm="1">
        <f t="array" ref="M128">_xlfn.IFS(L128&lt;=101,"15a101minutos",
AND(L128&gt;101,L128&lt;=188),"102a188minutos",L128&gt;188,"189a274minutos")</f>
        <v>15a101minutos</v>
      </c>
    </row>
    <row r="129" spans="1:13" x14ac:dyDescent="0.25">
      <c r="A129" s="2" t="s">
        <v>78</v>
      </c>
      <c r="B129" s="2" t="s">
        <v>40</v>
      </c>
      <c r="C129" s="2" t="s">
        <v>19</v>
      </c>
      <c r="D129" s="2" t="s">
        <v>20</v>
      </c>
      <c r="E129" s="2" t="s">
        <v>21</v>
      </c>
      <c r="F129" s="2" t="s">
        <v>22</v>
      </c>
      <c r="G129" s="2" t="s">
        <v>23</v>
      </c>
      <c r="H129" t="s">
        <v>300</v>
      </c>
      <c r="I129" t="s">
        <v>301</v>
      </c>
      <c r="J129" t="s">
        <v>302</v>
      </c>
      <c r="K129" t="s">
        <v>303</v>
      </c>
      <c r="L129">
        <v>79.47</v>
      </c>
      <c r="M129" t="str" cm="1">
        <f t="array" ref="M129">_xlfn.IFS(L129&lt;=101,"15a101minutos",
AND(L129&gt;101,L129&lt;=188),"102a188minutos",L129&gt;188,"189a274minutos")</f>
        <v>15a101minutos</v>
      </c>
    </row>
    <row r="130" spans="1:13" x14ac:dyDescent="0.25">
      <c r="A130" s="2" t="s">
        <v>84</v>
      </c>
      <c r="B130" s="2" t="s">
        <v>18</v>
      </c>
      <c r="C130" s="2" t="s">
        <v>49</v>
      </c>
      <c r="D130" s="2" t="s">
        <v>42</v>
      </c>
      <c r="E130" s="2" t="s">
        <v>31</v>
      </c>
      <c r="F130" s="2" t="s">
        <v>22</v>
      </c>
      <c r="G130" s="2" t="s">
        <v>33</v>
      </c>
      <c r="H130" t="s">
        <v>304</v>
      </c>
      <c r="I130" t="s">
        <v>305</v>
      </c>
      <c r="J130" t="s">
        <v>306</v>
      </c>
      <c r="K130" t="s">
        <v>307</v>
      </c>
      <c r="L130">
        <v>215.44</v>
      </c>
      <c r="M130" t="str" cm="1">
        <f t="array" ref="M130">_xlfn.IFS(L130&lt;=101,"15a101minutos",
AND(L130&gt;101,L130&lt;=188),"102a188minutos",L130&gt;188,"189a274minutos")</f>
        <v>189a274minutos</v>
      </c>
    </row>
    <row r="131" spans="1:13" x14ac:dyDescent="0.25">
      <c r="A131" s="2" t="s">
        <v>90</v>
      </c>
      <c r="B131" s="2" t="s">
        <v>63</v>
      </c>
      <c r="C131" s="2" t="s">
        <v>19</v>
      </c>
      <c r="D131" s="2" t="s">
        <v>30</v>
      </c>
      <c r="E131" s="2" t="s">
        <v>50</v>
      </c>
      <c r="F131" s="2" t="s">
        <v>32</v>
      </c>
      <c r="G131" s="2" t="s">
        <v>33</v>
      </c>
      <c r="H131" t="s">
        <v>308</v>
      </c>
      <c r="I131" t="s">
        <v>309</v>
      </c>
      <c r="J131" t="s">
        <v>310</v>
      </c>
      <c r="K131" t="s">
        <v>311</v>
      </c>
      <c r="L131">
        <v>237.84</v>
      </c>
      <c r="M131" t="str" cm="1">
        <f t="array" ref="M131">_xlfn.IFS(L131&lt;=101,"15a101minutos",
AND(L131&gt;101,L131&lt;=188),"102a188minutos",L131&gt;188,"189a274minutos")</f>
        <v>189a274minutos</v>
      </c>
    </row>
    <row r="132" spans="1:13" x14ac:dyDescent="0.25">
      <c r="A132" s="2" t="s">
        <v>96</v>
      </c>
      <c r="B132" s="2" t="s">
        <v>18</v>
      </c>
      <c r="C132" s="2" t="s">
        <v>76</v>
      </c>
      <c r="D132" s="2" t="s">
        <v>42</v>
      </c>
      <c r="E132" s="2" t="s">
        <v>21</v>
      </c>
      <c r="F132" s="2" t="s">
        <v>22</v>
      </c>
      <c r="G132" s="2" t="s">
        <v>33</v>
      </c>
      <c r="H132" t="s">
        <v>312</v>
      </c>
      <c r="I132" t="s">
        <v>313</v>
      </c>
      <c r="J132" t="s">
        <v>314</v>
      </c>
      <c r="K132" t="s">
        <v>315</v>
      </c>
      <c r="L132">
        <v>73.849999999999994</v>
      </c>
      <c r="M132" t="str" cm="1">
        <f t="array" ref="M132">_xlfn.IFS(L132&lt;=101,"15a101minutos",
AND(L132&gt;101,L132&lt;=188),"102a188minutos",L132&gt;188,"189a274minutos")</f>
        <v>15a101minutos</v>
      </c>
    </row>
    <row r="133" spans="1:13" x14ac:dyDescent="0.25">
      <c r="A133" s="2" t="s">
        <v>102</v>
      </c>
      <c r="B133" s="2" t="s">
        <v>18</v>
      </c>
      <c r="C133" s="2" t="s">
        <v>76</v>
      </c>
      <c r="D133" s="2" t="s">
        <v>30</v>
      </c>
      <c r="E133" s="2" t="s">
        <v>21</v>
      </c>
      <c r="F133" s="2" t="s">
        <v>32</v>
      </c>
      <c r="G133" s="2" t="s">
        <v>33</v>
      </c>
      <c r="H133" t="s">
        <v>316</v>
      </c>
      <c r="I133" t="s">
        <v>317</v>
      </c>
      <c r="J133" t="s">
        <v>318</v>
      </c>
      <c r="K133" t="s">
        <v>319</v>
      </c>
      <c r="L133">
        <v>19.670000000000002</v>
      </c>
      <c r="M133" t="str" cm="1">
        <f t="array" ref="M133">_xlfn.IFS(L133&lt;=101,"15a101minutos",
AND(L133&gt;101,L133&lt;=188),"102a188minutos",L133&gt;188,"189a274minutos")</f>
        <v>15a101minutos</v>
      </c>
    </row>
    <row r="134" spans="1:13" x14ac:dyDescent="0.25">
      <c r="A134" s="2" t="s">
        <v>108</v>
      </c>
      <c r="B134" s="2" t="s">
        <v>63</v>
      </c>
      <c r="C134" s="2" t="s">
        <v>49</v>
      </c>
      <c r="D134" s="2" t="s">
        <v>20</v>
      </c>
      <c r="E134" s="2" t="s">
        <v>21</v>
      </c>
      <c r="F134" s="2" t="s">
        <v>32</v>
      </c>
      <c r="G134" s="2" t="s">
        <v>33</v>
      </c>
      <c r="H134" t="s">
        <v>320</v>
      </c>
      <c r="I134" t="s">
        <v>321</v>
      </c>
      <c r="J134" t="s">
        <v>322</v>
      </c>
      <c r="K134" t="s">
        <v>323</v>
      </c>
      <c r="L134">
        <v>142.03</v>
      </c>
      <c r="M134" t="str" cm="1">
        <f t="array" ref="M134">_xlfn.IFS(L134&lt;=101,"15a101minutos",
AND(L134&gt;101,L134&lt;=188),"102a188minutos",L134&gt;188,"189a274minutos")</f>
        <v>102a188minutos</v>
      </c>
    </row>
    <row r="135" spans="1:13" x14ac:dyDescent="0.25">
      <c r="A135" s="2" t="s">
        <v>114</v>
      </c>
      <c r="B135" s="2" t="s">
        <v>63</v>
      </c>
      <c r="C135" s="2" t="s">
        <v>41</v>
      </c>
      <c r="D135" s="2" t="s">
        <v>20</v>
      </c>
      <c r="E135" s="2" t="s">
        <v>31</v>
      </c>
      <c r="F135" s="2" t="s">
        <v>32</v>
      </c>
      <c r="G135" s="2" t="s">
        <v>33</v>
      </c>
      <c r="H135" t="s">
        <v>324</v>
      </c>
      <c r="I135" t="s">
        <v>325</v>
      </c>
      <c r="J135" t="s">
        <v>326</v>
      </c>
      <c r="K135" t="s">
        <v>327</v>
      </c>
      <c r="L135">
        <v>37.53</v>
      </c>
      <c r="M135" t="str" cm="1">
        <f t="array" ref="M135">_xlfn.IFS(L135&lt;=101,"15a101minutos",
AND(L135&gt;101,L135&lt;=188),"102a188minutos",L135&gt;188,"189a274minutos")</f>
        <v>15a101minutos</v>
      </c>
    </row>
    <row r="136" spans="1:13" x14ac:dyDescent="0.25">
      <c r="A136" s="2" t="s">
        <v>120</v>
      </c>
      <c r="B136" s="2" t="s">
        <v>40</v>
      </c>
      <c r="C136" s="2" t="s">
        <v>76</v>
      </c>
      <c r="D136" s="2" t="s">
        <v>42</v>
      </c>
      <c r="E136" s="2" t="s">
        <v>50</v>
      </c>
      <c r="F136" s="2" t="s">
        <v>32</v>
      </c>
      <c r="G136" s="2" t="s">
        <v>33</v>
      </c>
      <c r="H136" t="s">
        <v>328</v>
      </c>
      <c r="I136" t="s">
        <v>329</v>
      </c>
      <c r="J136" t="s">
        <v>330</v>
      </c>
      <c r="K136" t="s">
        <v>331</v>
      </c>
      <c r="L136">
        <v>126.44</v>
      </c>
      <c r="M136" t="str" cm="1">
        <f t="array" ref="M136">_xlfn.IFS(L136&lt;=101,"15a101minutos",
AND(L136&gt;101,L136&lt;=188),"102a188minutos",L136&gt;188,"189a274minutos")</f>
        <v>102a188minutos</v>
      </c>
    </row>
    <row r="137" spans="1:13" x14ac:dyDescent="0.25">
      <c r="A137" s="2" t="s">
        <v>126</v>
      </c>
      <c r="B137" s="2" t="s">
        <v>63</v>
      </c>
      <c r="C137" s="2" t="s">
        <v>41</v>
      </c>
      <c r="D137" s="2" t="s">
        <v>20</v>
      </c>
      <c r="E137" s="2" t="s">
        <v>21</v>
      </c>
      <c r="F137" s="2" t="s">
        <v>22</v>
      </c>
      <c r="G137" s="2" t="s">
        <v>23</v>
      </c>
      <c r="H137" t="s">
        <v>332</v>
      </c>
      <c r="I137" t="s">
        <v>333</v>
      </c>
      <c r="J137" t="s">
        <v>334</v>
      </c>
      <c r="K137" t="s">
        <v>335</v>
      </c>
      <c r="L137">
        <v>131.78</v>
      </c>
      <c r="M137" t="str" cm="1">
        <f t="array" ref="M137">_xlfn.IFS(L137&lt;=101,"15a101minutos",
AND(L137&gt;101,L137&lt;=188),"102a188minutos",L137&gt;188,"189a274minutos")</f>
        <v>102a188minutos</v>
      </c>
    </row>
    <row r="138" spans="1:13" x14ac:dyDescent="0.25">
      <c r="A138" s="2" t="s">
        <v>132</v>
      </c>
      <c r="B138" s="2" t="s">
        <v>40</v>
      </c>
      <c r="C138" s="2" t="s">
        <v>49</v>
      </c>
      <c r="D138" s="2" t="s">
        <v>20</v>
      </c>
      <c r="E138" s="2" t="s">
        <v>31</v>
      </c>
      <c r="F138" s="2" t="s">
        <v>22</v>
      </c>
      <c r="G138" s="2" t="s">
        <v>23</v>
      </c>
      <c r="H138" t="s">
        <v>336</v>
      </c>
      <c r="I138" t="s">
        <v>337</v>
      </c>
      <c r="J138" t="s">
        <v>338</v>
      </c>
      <c r="K138" t="s">
        <v>339</v>
      </c>
      <c r="L138">
        <v>101.25</v>
      </c>
      <c r="M138" t="str" cm="1">
        <f t="array" ref="M138">_xlfn.IFS(L138&lt;=101,"15a101minutos",
AND(L138&gt;101,L138&lt;=188),"102a188minutos",L138&gt;188,"189a274minutos")</f>
        <v>102a188minutos</v>
      </c>
    </row>
    <row r="139" spans="1:13" x14ac:dyDescent="0.25">
      <c r="A139" s="2" t="s">
        <v>138</v>
      </c>
      <c r="B139" s="2" t="s">
        <v>63</v>
      </c>
      <c r="C139" s="2" t="s">
        <v>19</v>
      </c>
      <c r="D139" s="2" t="s">
        <v>20</v>
      </c>
      <c r="E139" s="2" t="s">
        <v>50</v>
      </c>
      <c r="F139" s="2" t="s">
        <v>22</v>
      </c>
      <c r="G139" s="2" t="s">
        <v>23</v>
      </c>
      <c r="H139" t="s">
        <v>340</v>
      </c>
      <c r="I139" t="s">
        <v>341</v>
      </c>
      <c r="J139" t="s">
        <v>342</v>
      </c>
      <c r="K139" t="s">
        <v>343</v>
      </c>
      <c r="L139">
        <v>194.22</v>
      </c>
      <c r="M139" t="str" cm="1">
        <f t="array" ref="M139">_xlfn.IFS(L139&lt;=101,"15a101minutos",
AND(L139&gt;101,L139&lt;=188),"102a188minutos",L139&gt;188,"189a274minutos")</f>
        <v>189a274minutos</v>
      </c>
    </row>
    <row r="140" spans="1:13" x14ac:dyDescent="0.25">
      <c r="A140" s="2" t="s">
        <v>144</v>
      </c>
      <c r="B140" s="2" t="s">
        <v>18</v>
      </c>
      <c r="C140" s="2" t="s">
        <v>76</v>
      </c>
      <c r="D140" s="2" t="s">
        <v>30</v>
      </c>
      <c r="E140" s="2" t="s">
        <v>21</v>
      </c>
      <c r="F140" s="2" t="s">
        <v>22</v>
      </c>
      <c r="G140" s="2" t="s">
        <v>23</v>
      </c>
      <c r="H140" t="s">
        <v>344</v>
      </c>
      <c r="I140" t="s">
        <v>345</v>
      </c>
      <c r="J140" t="s">
        <v>346</v>
      </c>
      <c r="K140" t="s">
        <v>347</v>
      </c>
      <c r="L140">
        <v>79.47</v>
      </c>
      <c r="M140" t="str" cm="1">
        <f t="array" ref="M140">_xlfn.IFS(L140&lt;=101,"15a101minutos",
AND(L140&gt;101,L140&lt;=188),"102a188minutos",L140&gt;188,"189a274minutos")</f>
        <v>15a101minutos</v>
      </c>
    </row>
    <row r="141" spans="1:13" x14ac:dyDescent="0.25">
      <c r="A141" s="2" t="s">
        <v>149</v>
      </c>
      <c r="B141" s="2" t="s">
        <v>63</v>
      </c>
      <c r="C141" s="2" t="s">
        <v>49</v>
      </c>
      <c r="D141" s="2" t="s">
        <v>30</v>
      </c>
      <c r="E141" s="2" t="s">
        <v>50</v>
      </c>
      <c r="F141" s="2" t="s">
        <v>32</v>
      </c>
      <c r="G141" s="2" t="s">
        <v>33</v>
      </c>
      <c r="H141" t="s">
        <v>348</v>
      </c>
      <c r="I141" t="s">
        <v>349</v>
      </c>
      <c r="J141" t="s">
        <v>350</v>
      </c>
      <c r="K141" t="s">
        <v>351</v>
      </c>
      <c r="L141" t="s">
        <v>352</v>
      </c>
      <c r="M141" t="str" cm="1">
        <f t="array" ref="M141">_xlfn.IFS(L141&lt;=101,"15a101minutos",
AND(L141&gt;101,L141&lt;=188),"102a188minutos",L141&gt;188,"189a274minutos")</f>
        <v>189a274minutos</v>
      </c>
    </row>
    <row r="142" spans="1:13" x14ac:dyDescent="0.25">
      <c r="A142" s="2" t="s">
        <v>155</v>
      </c>
      <c r="B142" s="2" t="s">
        <v>18</v>
      </c>
      <c r="C142" s="2" t="s">
        <v>76</v>
      </c>
      <c r="D142" s="2" t="s">
        <v>20</v>
      </c>
      <c r="E142" s="2" t="s">
        <v>21</v>
      </c>
      <c r="F142" s="2" t="s">
        <v>22</v>
      </c>
      <c r="G142" s="2" t="s">
        <v>23</v>
      </c>
      <c r="H142" t="s">
        <v>353</v>
      </c>
      <c r="I142" t="s">
        <v>354</v>
      </c>
      <c r="J142" t="s">
        <v>355</v>
      </c>
      <c r="K142" t="s">
        <v>356</v>
      </c>
      <c r="L142" t="s">
        <v>357</v>
      </c>
      <c r="M142" t="str" cm="1">
        <f t="array" ref="M142">_xlfn.IFS(L142&lt;=101,"15a101minutos",
AND(L142&gt;101,L142&lt;=188),"102a188minutos",L142&gt;188,"189a274minutos")</f>
        <v>189a274minutos</v>
      </c>
    </row>
    <row r="143" spans="1:13" x14ac:dyDescent="0.25">
      <c r="A143" s="2" t="s">
        <v>161</v>
      </c>
      <c r="B143" s="2" t="s">
        <v>40</v>
      </c>
      <c r="C143" s="2" t="s">
        <v>19</v>
      </c>
      <c r="D143" s="2" t="s">
        <v>42</v>
      </c>
      <c r="E143" s="2" t="s">
        <v>31</v>
      </c>
      <c r="F143" s="2" t="s">
        <v>32</v>
      </c>
      <c r="G143" s="2" t="s">
        <v>33</v>
      </c>
      <c r="H143" t="s">
        <v>358</v>
      </c>
      <c r="I143" t="s">
        <v>359</v>
      </c>
      <c r="J143" t="s">
        <v>360</v>
      </c>
      <c r="K143" t="s">
        <v>361</v>
      </c>
      <c r="L143" t="s">
        <v>362</v>
      </c>
      <c r="M143" t="str" cm="1">
        <f t="array" ref="M143">_xlfn.IFS(L143&lt;=101,"15a101minutos",
AND(L143&gt;101,L143&lt;=188),"102a188minutos",L143&gt;188,"189a274minutos")</f>
        <v>189a274minutos</v>
      </c>
    </row>
    <row r="144" spans="1:13" x14ac:dyDescent="0.25">
      <c r="A144" s="2" t="s">
        <v>167</v>
      </c>
      <c r="B144" s="2" t="s">
        <v>63</v>
      </c>
      <c r="C144" s="2" t="s">
        <v>41</v>
      </c>
      <c r="D144" s="2" t="s">
        <v>30</v>
      </c>
      <c r="E144" s="2" t="s">
        <v>50</v>
      </c>
      <c r="F144" s="2" t="s">
        <v>32</v>
      </c>
      <c r="G144" s="2" t="s">
        <v>23</v>
      </c>
      <c r="H144" t="s">
        <v>363</v>
      </c>
      <c r="I144" t="s">
        <v>364</v>
      </c>
      <c r="J144" t="s">
        <v>365</v>
      </c>
      <c r="K144" t="s">
        <v>366</v>
      </c>
      <c r="L144" t="s">
        <v>367</v>
      </c>
      <c r="M144" t="str" cm="1">
        <f t="array" ref="M144">_xlfn.IFS(L144&lt;=101,"15a101minutos",
AND(L144&gt;101,L144&lt;=188),"102a188minutos",L144&gt;188,"189a274minutos")</f>
        <v>189a274minutos</v>
      </c>
    </row>
    <row r="145" spans="1:13" x14ac:dyDescent="0.25">
      <c r="A145" s="2" t="s">
        <v>173</v>
      </c>
      <c r="B145" s="2" t="s">
        <v>18</v>
      </c>
      <c r="C145" s="2" t="s">
        <v>49</v>
      </c>
      <c r="D145" s="2" t="s">
        <v>42</v>
      </c>
      <c r="E145" s="2" t="s">
        <v>21</v>
      </c>
      <c r="F145" s="2" t="s">
        <v>22</v>
      </c>
      <c r="G145" s="2" t="s">
        <v>33</v>
      </c>
      <c r="H145" t="s">
        <v>368</v>
      </c>
      <c r="I145" t="s">
        <v>369</v>
      </c>
      <c r="J145" t="s">
        <v>370</v>
      </c>
      <c r="K145" t="s">
        <v>371</v>
      </c>
      <c r="L145" t="s">
        <v>372</v>
      </c>
      <c r="M145" t="str" cm="1">
        <f t="array" ref="M145">_xlfn.IFS(L145&lt;=101,"15a101minutos",
AND(L145&gt;101,L145&lt;=188),"102a188minutos",L145&gt;188,"189a274minutos")</f>
        <v>189a274minutos</v>
      </c>
    </row>
    <row r="146" spans="1:13" x14ac:dyDescent="0.25">
      <c r="A146" s="2" t="s">
        <v>179</v>
      </c>
      <c r="B146" s="2" t="s">
        <v>40</v>
      </c>
      <c r="C146" s="2" t="s">
        <v>76</v>
      </c>
      <c r="D146" s="2" t="s">
        <v>20</v>
      </c>
      <c r="E146" s="2" t="s">
        <v>31</v>
      </c>
      <c r="F146" s="2" t="s">
        <v>32</v>
      </c>
      <c r="G146" s="2" t="s">
        <v>23</v>
      </c>
      <c r="H146" t="s">
        <v>373</v>
      </c>
      <c r="I146" t="s">
        <v>374</v>
      </c>
      <c r="J146" t="s">
        <v>375</v>
      </c>
      <c r="K146" t="s">
        <v>376</v>
      </c>
      <c r="L146" t="s">
        <v>377</v>
      </c>
      <c r="M146" t="str" cm="1">
        <f t="array" ref="M146">_xlfn.IFS(L146&lt;=101,"15a101minutos",
AND(L146&gt;101,L146&lt;=188),"102a188minutos",L146&gt;188,"189a274minutos")</f>
        <v>189a274minutos</v>
      </c>
    </row>
    <row r="147" spans="1:13" x14ac:dyDescent="0.25">
      <c r="A147" s="2" t="s">
        <v>185</v>
      </c>
      <c r="B147" s="2" t="s">
        <v>63</v>
      </c>
      <c r="C147" s="2" t="s">
        <v>19</v>
      </c>
      <c r="D147" s="2" t="s">
        <v>30</v>
      </c>
      <c r="E147" s="2" t="s">
        <v>50</v>
      </c>
      <c r="F147" s="2" t="s">
        <v>32</v>
      </c>
      <c r="G147" s="2" t="s">
        <v>33</v>
      </c>
      <c r="H147" t="s">
        <v>378</v>
      </c>
      <c r="I147" t="s">
        <v>379</v>
      </c>
      <c r="J147" t="s">
        <v>380</v>
      </c>
      <c r="K147" t="s">
        <v>379</v>
      </c>
      <c r="L147" t="s">
        <v>381</v>
      </c>
      <c r="M147" t="str" cm="1">
        <f t="array" ref="M147">_xlfn.IFS(L147&lt;=101,"15a101minutos",
AND(L147&gt;101,L147&lt;=188),"102a188minutos",L147&gt;188,"189a274minutos")</f>
        <v>189a274minutos</v>
      </c>
    </row>
    <row r="148" spans="1:13" x14ac:dyDescent="0.25">
      <c r="A148" s="2" t="s">
        <v>191</v>
      </c>
      <c r="B148" s="2" t="s">
        <v>18</v>
      </c>
      <c r="C148" s="2" t="s">
        <v>41</v>
      </c>
      <c r="D148" s="2" t="s">
        <v>42</v>
      </c>
      <c r="E148" s="2" t="s">
        <v>21</v>
      </c>
      <c r="F148" s="2" t="s">
        <v>22</v>
      </c>
      <c r="G148" s="2" t="s">
        <v>23</v>
      </c>
      <c r="H148" t="s">
        <v>382</v>
      </c>
      <c r="I148" t="s">
        <v>351</v>
      </c>
      <c r="J148" t="s">
        <v>383</v>
      </c>
      <c r="K148" t="s">
        <v>384</v>
      </c>
      <c r="L148" t="s">
        <v>385</v>
      </c>
      <c r="M148" t="str" cm="1">
        <f t="array" ref="M148">_xlfn.IFS(L148&lt;=101,"15a101minutos",
AND(L148&gt;101,L148&lt;=188),"102a188minutos",L148&gt;188,"189a274minutos")</f>
        <v>189a274minutos</v>
      </c>
    </row>
    <row r="149" spans="1:13" x14ac:dyDescent="0.25">
      <c r="A149" s="2" t="s">
        <v>197</v>
      </c>
      <c r="B149" s="2" t="s">
        <v>40</v>
      </c>
      <c r="C149" s="2" t="s">
        <v>49</v>
      </c>
      <c r="D149" s="2" t="s">
        <v>20</v>
      </c>
      <c r="E149" s="2" t="s">
        <v>31</v>
      </c>
      <c r="F149" s="2" t="s">
        <v>32</v>
      </c>
      <c r="G149" s="2" t="s">
        <v>23</v>
      </c>
      <c r="H149" t="s">
        <v>386</v>
      </c>
      <c r="I149" t="s">
        <v>366</v>
      </c>
      <c r="J149" t="s">
        <v>387</v>
      </c>
      <c r="K149" t="s">
        <v>354</v>
      </c>
      <c r="L149" t="s">
        <v>388</v>
      </c>
      <c r="M149" t="str" cm="1">
        <f t="array" ref="M149">_xlfn.IFS(L149&lt;=101,"15a101minutos",
AND(L149&gt;101,L149&lt;=188),"102a188minutos",L149&gt;188,"189a274minutos")</f>
        <v>189a274minutos</v>
      </c>
    </row>
    <row r="150" spans="1:13" x14ac:dyDescent="0.25">
      <c r="A150" s="2" t="s">
        <v>203</v>
      </c>
      <c r="B150" s="2" t="s">
        <v>63</v>
      </c>
      <c r="C150" s="2" t="s">
        <v>76</v>
      </c>
      <c r="D150" s="2" t="s">
        <v>30</v>
      </c>
      <c r="E150" s="2" t="s">
        <v>50</v>
      </c>
      <c r="F150" s="2" t="s">
        <v>32</v>
      </c>
      <c r="G150" s="2" t="s">
        <v>33</v>
      </c>
      <c r="H150" t="s">
        <v>389</v>
      </c>
      <c r="I150" t="s">
        <v>371</v>
      </c>
      <c r="J150" t="s">
        <v>390</v>
      </c>
      <c r="K150" t="s">
        <v>391</v>
      </c>
      <c r="L150" t="s">
        <v>392</v>
      </c>
      <c r="M150" t="str" cm="1">
        <f t="array" ref="M150">_xlfn.IFS(L150&lt;=101,"15a101minutos",
AND(L150&gt;101,L150&lt;=188),"102a188minutos",L150&gt;188,"189a274minutos")</f>
        <v>189a274minutos</v>
      </c>
    </row>
    <row r="151" spans="1:13" x14ac:dyDescent="0.25">
      <c r="A151" s="2" t="s">
        <v>209</v>
      </c>
      <c r="B151" s="2" t="s">
        <v>18</v>
      </c>
      <c r="C151" s="2" t="s">
        <v>19</v>
      </c>
      <c r="D151" s="2" t="s">
        <v>20</v>
      </c>
      <c r="E151" s="2" t="s">
        <v>21</v>
      </c>
      <c r="F151" s="2" t="s">
        <v>32</v>
      </c>
      <c r="G151" s="2" t="s">
        <v>33</v>
      </c>
      <c r="H151" t="s">
        <v>393</v>
      </c>
      <c r="I151" t="s">
        <v>394</v>
      </c>
      <c r="J151" t="s">
        <v>395</v>
      </c>
      <c r="K151" t="s">
        <v>396</v>
      </c>
      <c r="L151">
        <v>45.39</v>
      </c>
      <c r="M151" t="str" cm="1">
        <f t="array" ref="M151">_xlfn.IFS(L151&lt;=101,"15a101minutos",
AND(L151&gt;101,L151&lt;=188),"102a188minutos",L151&gt;188,"189a274minutos")</f>
        <v>15a101minutos</v>
      </c>
    </row>
    <row r="152" spans="1:13" x14ac:dyDescent="0.25">
      <c r="A152" s="2" t="s">
        <v>215</v>
      </c>
      <c r="B152" s="2" t="s">
        <v>40</v>
      </c>
      <c r="C152" s="2" t="s">
        <v>41</v>
      </c>
      <c r="D152" s="2" t="s">
        <v>42</v>
      </c>
      <c r="E152" s="2" t="s">
        <v>31</v>
      </c>
      <c r="F152" s="2" t="s">
        <v>32</v>
      </c>
      <c r="G152" s="2" t="s">
        <v>33</v>
      </c>
      <c r="H152" t="s">
        <v>397</v>
      </c>
      <c r="I152" t="s">
        <v>398</v>
      </c>
      <c r="J152" t="s">
        <v>399</v>
      </c>
      <c r="K152" t="s">
        <v>400</v>
      </c>
      <c r="L152">
        <v>153.6</v>
      </c>
      <c r="M152" t="str" cm="1">
        <f t="array" ref="M152">_xlfn.IFS(L152&lt;=101,"15a101minutos",
AND(L152&gt;101,L152&lt;=188),"102a188minutos",L152&gt;188,"189a274minutos")</f>
        <v>102a188minutos</v>
      </c>
    </row>
    <row r="153" spans="1:13" x14ac:dyDescent="0.25">
      <c r="A153" s="2" t="s">
        <v>221</v>
      </c>
      <c r="B153" s="2" t="s">
        <v>40</v>
      </c>
      <c r="C153" s="2" t="s">
        <v>49</v>
      </c>
      <c r="D153" s="2" t="s">
        <v>20</v>
      </c>
      <c r="E153" s="2" t="s">
        <v>31</v>
      </c>
      <c r="F153" s="2" t="s">
        <v>22</v>
      </c>
      <c r="G153" s="2" t="s">
        <v>23</v>
      </c>
      <c r="H153" t="s">
        <v>401</v>
      </c>
      <c r="I153" t="s">
        <v>402</v>
      </c>
      <c r="J153" t="s">
        <v>403</v>
      </c>
      <c r="K153" t="s">
        <v>404</v>
      </c>
      <c r="L153">
        <v>19.97</v>
      </c>
      <c r="M153" t="str" cm="1">
        <f t="array" ref="M153">_xlfn.IFS(L153&lt;=101,"15a101minutos",
AND(L153&gt;101,L153&lt;=188),"102a188minutos",L153&gt;188,"189a274minutos")</f>
        <v>15a101minutos</v>
      </c>
    </row>
    <row r="154" spans="1:13" x14ac:dyDescent="0.25">
      <c r="A154" s="2" t="s">
        <v>227</v>
      </c>
      <c r="B154" s="2" t="s">
        <v>40</v>
      </c>
      <c r="C154" s="2" t="s">
        <v>76</v>
      </c>
      <c r="D154" s="2" t="s">
        <v>20</v>
      </c>
      <c r="E154" s="2" t="s">
        <v>21</v>
      </c>
      <c r="F154" s="2" t="s">
        <v>32</v>
      </c>
      <c r="G154" s="2" t="s">
        <v>33</v>
      </c>
      <c r="H154" t="s">
        <v>405</v>
      </c>
      <c r="I154" t="s">
        <v>406</v>
      </c>
      <c r="J154" t="s">
        <v>407</v>
      </c>
      <c r="K154" t="s">
        <v>408</v>
      </c>
      <c r="L154">
        <v>273.7</v>
      </c>
      <c r="M154" t="str" cm="1">
        <f t="array" ref="M154">_xlfn.IFS(L154&lt;=101,"15a101minutos",
AND(L154&gt;101,L154&lt;=188),"102a188minutos",L154&gt;188,"189a274minutos")</f>
        <v>189a274minutos</v>
      </c>
    </row>
    <row r="155" spans="1:13" x14ac:dyDescent="0.25">
      <c r="A155" s="2" t="s">
        <v>233</v>
      </c>
      <c r="B155" s="2" t="s">
        <v>40</v>
      </c>
      <c r="C155" s="2" t="s">
        <v>41</v>
      </c>
      <c r="D155" s="2" t="s">
        <v>20</v>
      </c>
      <c r="E155" s="2" t="s">
        <v>21</v>
      </c>
      <c r="F155" s="2" t="s">
        <v>22</v>
      </c>
      <c r="G155" s="2" t="s">
        <v>23</v>
      </c>
      <c r="H155" t="s">
        <v>409</v>
      </c>
      <c r="I155" t="s">
        <v>410</v>
      </c>
      <c r="J155" t="s">
        <v>411</v>
      </c>
      <c r="K155" t="s">
        <v>412</v>
      </c>
      <c r="L155">
        <v>85.05</v>
      </c>
      <c r="M155" t="str" cm="1">
        <f t="array" ref="M155">_xlfn.IFS(L155&lt;=101,"15a101minutos",
AND(L155&gt;101,L155&lt;=188),"102a188minutos",L155&gt;188,"189a274minutos")</f>
        <v>15a101minutos</v>
      </c>
    </row>
    <row r="156" spans="1:13" x14ac:dyDescent="0.25">
      <c r="A156" s="2" t="s">
        <v>239</v>
      </c>
      <c r="B156" s="2" t="s">
        <v>40</v>
      </c>
      <c r="C156" s="2" t="s">
        <v>49</v>
      </c>
      <c r="D156" s="2" t="s">
        <v>20</v>
      </c>
      <c r="E156" s="2" t="s">
        <v>21</v>
      </c>
      <c r="F156" s="2" t="s">
        <v>32</v>
      </c>
      <c r="G156" s="2" t="s">
        <v>23</v>
      </c>
      <c r="H156" t="s">
        <v>413</v>
      </c>
      <c r="I156" t="s">
        <v>414</v>
      </c>
      <c r="J156" t="s">
        <v>415</v>
      </c>
      <c r="K156" t="s">
        <v>416</v>
      </c>
      <c r="L156">
        <v>202.13</v>
      </c>
      <c r="M156" t="str" cm="1">
        <f t="array" ref="M156">_xlfn.IFS(L156&lt;=101,"15a101minutos",
AND(L156&gt;101,L156&lt;=188),"102a188minutos",L156&gt;188,"189a274minutos")</f>
        <v>189a274minutos</v>
      </c>
    </row>
    <row r="157" spans="1:13" x14ac:dyDescent="0.25">
      <c r="A157" s="2" t="s">
        <v>245</v>
      </c>
      <c r="B157" s="2" t="s">
        <v>40</v>
      </c>
      <c r="C157" s="2" t="s">
        <v>41</v>
      </c>
      <c r="D157" s="2" t="s">
        <v>30</v>
      </c>
      <c r="E157" s="2" t="s">
        <v>31</v>
      </c>
      <c r="F157" s="2" t="s">
        <v>22</v>
      </c>
      <c r="G157" s="2" t="s">
        <v>33</v>
      </c>
      <c r="H157" t="s">
        <v>417</v>
      </c>
      <c r="I157" t="s">
        <v>418</v>
      </c>
      <c r="J157" t="s">
        <v>419</v>
      </c>
      <c r="K157" t="s">
        <v>420</v>
      </c>
      <c r="L157">
        <v>100.4</v>
      </c>
      <c r="M157" t="str" cm="1">
        <f t="array" ref="M157">_xlfn.IFS(L157&lt;=101,"15a101minutos",
AND(L157&gt;101,L157&lt;=188),"102a188minutos",L157&gt;188,"189a274minutos")</f>
        <v>15a101minutos</v>
      </c>
    </row>
    <row r="158" spans="1:13" x14ac:dyDescent="0.25">
      <c r="A158" s="2" t="s">
        <v>251</v>
      </c>
      <c r="B158" s="2" t="s">
        <v>18</v>
      </c>
      <c r="C158" s="2" t="s">
        <v>49</v>
      </c>
      <c r="D158" s="2" t="s">
        <v>20</v>
      </c>
      <c r="E158" s="2" t="s">
        <v>21</v>
      </c>
      <c r="F158" s="2" t="s">
        <v>32</v>
      </c>
      <c r="G158" s="2" t="s">
        <v>33</v>
      </c>
      <c r="H158" t="s">
        <v>421</v>
      </c>
      <c r="I158" t="s">
        <v>422</v>
      </c>
      <c r="J158" t="s">
        <v>423</v>
      </c>
      <c r="K158" t="s">
        <v>424</v>
      </c>
      <c r="L158">
        <v>160.82</v>
      </c>
      <c r="M158" t="str" cm="1">
        <f t="array" ref="M158">_xlfn.IFS(L158&lt;=101,"15a101minutos",
AND(L158&gt;101,L158&lt;=188),"102a188minutos",L158&gt;188,"189a274minutos")</f>
        <v>102a188minutos</v>
      </c>
    </row>
    <row r="159" spans="1:13" x14ac:dyDescent="0.25">
      <c r="A159" s="2" t="s">
        <v>257</v>
      </c>
      <c r="B159" s="2" t="s">
        <v>18</v>
      </c>
      <c r="C159" s="2" t="s">
        <v>76</v>
      </c>
      <c r="D159" s="2" t="s">
        <v>20</v>
      </c>
      <c r="E159" s="2" t="s">
        <v>21</v>
      </c>
      <c r="F159" s="2" t="s">
        <v>32</v>
      </c>
      <c r="G159" s="2" t="s">
        <v>23</v>
      </c>
      <c r="H159" t="s">
        <v>425</v>
      </c>
      <c r="I159" t="s">
        <v>426</v>
      </c>
      <c r="J159" t="s">
        <v>427</v>
      </c>
      <c r="K159" t="s">
        <v>428</v>
      </c>
      <c r="L159">
        <v>168.55</v>
      </c>
      <c r="M159" t="str" cm="1">
        <f t="array" ref="M159">_xlfn.IFS(L159&lt;=101,"15a101minutos",
AND(L159&gt;101,L159&lt;=188),"102a188minutos",L159&gt;188,"189a274minutos")</f>
        <v>102a188minutos</v>
      </c>
    </row>
    <row r="160" spans="1:13" x14ac:dyDescent="0.25">
      <c r="A160" s="2" t="s">
        <v>263</v>
      </c>
      <c r="B160" s="2" t="s">
        <v>40</v>
      </c>
      <c r="C160" s="2" t="s">
        <v>19</v>
      </c>
      <c r="D160" s="2" t="s">
        <v>20</v>
      </c>
      <c r="E160" s="2" t="s">
        <v>31</v>
      </c>
      <c r="F160" s="2" t="s">
        <v>22</v>
      </c>
      <c r="G160" s="2" t="s">
        <v>23</v>
      </c>
      <c r="H160" t="s">
        <v>429</v>
      </c>
      <c r="I160" t="s">
        <v>430</v>
      </c>
      <c r="J160" t="s">
        <v>431</v>
      </c>
      <c r="K160" t="s">
        <v>432</v>
      </c>
      <c r="L160">
        <v>63.61</v>
      </c>
      <c r="M160" t="str" cm="1">
        <f t="array" ref="M160">_xlfn.IFS(L160&lt;=101,"15a101minutos",
AND(L160&gt;101,L160&lt;=188),"102a188minutos",L160&gt;188,"189a274minutos")</f>
        <v>15a101minutos</v>
      </c>
    </row>
    <row r="161" spans="1:13" x14ac:dyDescent="0.25">
      <c r="A161" s="2" t="s">
        <v>114</v>
      </c>
      <c r="B161" s="2" t="s">
        <v>63</v>
      </c>
      <c r="C161" s="2" t="s">
        <v>41</v>
      </c>
      <c r="D161" s="2" t="s">
        <v>20</v>
      </c>
      <c r="E161" s="2" t="s">
        <v>31</v>
      </c>
      <c r="F161" s="2" t="s">
        <v>32</v>
      </c>
      <c r="G161" s="2" t="s">
        <v>33</v>
      </c>
      <c r="H161" t="s">
        <v>324</v>
      </c>
      <c r="I161" t="s">
        <v>325</v>
      </c>
      <c r="J161" t="s">
        <v>326</v>
      </c>
      <c r="K161" t="s">
        <v>327</v>
      </c>
      <c r="L161">
        <v>37.53</v>
      </c>
      <c r="M161" t="str" cm="1">
        <f t="array" ref="M161">_xlfn.IFS(L161&lt;=101,"15a101minutos",
AND(L161&gt;101,L161&lt;=188),"102a188minutos",L161&gt;188,"189a274minutos")</f>
        <v>15a101minutos</v>
      </c>
    </row>
    <row r="162" spans="1:13" x14ac:dyDescent="0.25">
      <c r="A162" s="2" t="s">
        <v>120</v>
      </c>
      <c r="B162" s="2" t="s">
        <v>40</v>
      </c>
      <c r="C162" s="2" t="s">
        <v>76</v>
      </c>
      <c r="D162" s="2" t="s">
        <v>42</v>
      </c>
      <c r="E162" s="2" t="s">
        <v>50</v>
      </c>
      <c r="F162" s="2" t="s">
        <v>32</v>
      </c>
      <c r="G162" s="2" t="s">
        <v>33</v>
      </c>
      <c r="H162" t="s">
        <v>328</v>
      </c>
      <c r="I162" t="s">
        <v>329</v>
      </c>
      <c r="J162" t="s">
        <v>330</v>
      </c>
      <c r="K162" t="s">
        <v>331</v>
      </c>
      <c r="L162">
        <v>126.44</v>
      </c>
      <c r="M162" t="str" cm="1">
        <f t="array" ref="M162">_xlfn.IFS(L162&lt;=101,"15a101minutos",
AND(L162&gt;101,L162&lt;=188),"102a188minutos",L162&gt;188,"189a274minutos")</f>
        <v>102a188minutos</v>
      </c>
    </row>
    <row r="163" spans="1:13" x14ac:dyDescent="0.25">
      <c r="A163" s="2" t="s">
        <v>126</v>
      </c>
      <c r="B163" s="2" t="s">
        <v>63</v>
      </c>
      <c r="C163" s="2" t="s">
        <v>41</v>
      </c>
      <c r="D163" s="2" t="s">
        <v>20</v>
      </c>
      <c r="E163" s="2" t="s">
        <v>21</v>
      </c>
      <c r="F163" s="2" t="s">
        <v>22</v>
      </c>
      <c r="G163" s="2" t="s">
        <v>23</v>
      </c>
      <c r="H163" t="s">
        <v>332</v>
      </c>
      <c r="I163" t="s">
        <v>333</v>
      </c>
      <c r="J163" t="s">
        <v>334</v>
      </c>
      <c r="K163" t="s">
        <v>335</v>
      </c>
      <c r="L163">
        <v>131.78</v>
      </c>
      <c r="M163" t="str" cm="1">
        <f t="array" ref="M163">_xlfn.IFS(L163&lt;=101,"15a101minutos",
AND(L163&gt;101,L163&lt;=188),"102a188minutos",L163&gt;188,"189a274minutos")</f>
        <v>102a188minutos</v>
      </c>
    </row>
    <row r="164" spans="1:13" x14ac:dyDescent="0.25">
      <c r="A164" s="2" t="s">
        <v>132</v>
      </c>
      <c r="B164" s="2" t="s">
        <v>40</v>
      </c>
      <c r="C164" s="2" t="s">
        <v>49</v>
      </c>
      <c r="D164" s="2" t="s">
        <v>20</v>
      </c>
      <c r="E164" s="2" t="s">
        <v>31</v>
      </c>
      <c r="F164" s="2" t="s">
        <v>22</v>
      </c>
      <c r="G164" s="2" t="s">
        <v>23</v>
      </c>
      <c r="H164" t="s">
        <v>336</v>
      </c>
      <c r="I164" t="s">
        <v>337</v>
      </c>
      <c r="J164" t="s">
        <v>338</v>
      </c>
      <c r="K164" t="s">
        <v>339</v>
      </c>
      <c r="L164">
        <v>101.25</v>
      </c>
      <c r="M164" t="str" cm="1">
        <f t="array" ref="M164">_xlfn.IFS(L164&lt;=101,"15a101minutos",
AND(L164&gt;101,L164&lt;=188),"102a188minutos",L164&gt;188,"189a274minutos")</f>
        <v>102a188minutos</v>
      </c>
    </row>
    <row r="165" spans="1:13" x14ac:dyDescent="0.25">
      <c r="A165" s="2" t="s">
        <v>138</v>
      </c>
      <c r="B165" s="2" t="s">
        <v>63</v>
      </c>
      <c r="C165" s="2" t="s">
        <v>19</v>
      </c>
      <c r="D165" s="2" t="s">
        <v>20</v>
      </c>
      <c r="E165" s="2" t="s">
        <v>50</v>
      </c>
      <c r="F165" s="2" t="s">
        <v>22</v>
      </c>
      <c r="G165" s="2" t="s">
        <v>23</v>
      </c>
      <c r="H165" t="s">
        <v>340</v>
      </c>
      <c r="I165" t="s">
        <v>341</v>
      </c>
      <c r="J165" t="s">
        <v>342</v>
      </c>
      <c r="K165" t="s">
        <v>343</v>
      </c>
      <c r="L165">
        <v>194.22</v>
      </c>
      <c r="M165" t="str" cm="1">
        <f t="array" ref="M165">_xlfn.IFS(L165&lt;=101,"15a101minutos",
AND(L165&gt;101,L165&lt;=188),"102a188minutos",L165&gt;188,"189a274minutos")</f>
        <v>189a274minutos</v>
      </c>
    </row>
    <row r="166" spans="1:13" x14ac:dyDescent="0.25">
      <c r="A166" s="2" t="s">
        <v>144</v>
      </c>
      <c r="B166" s="2" t="s">
        <v>18</v>
      </c>
      <c r="C166" s="2" t="s">
        <v>76</v>
      </c>
      <c r="D166" s="2" t="s">
        <v>30</v>
      </c>
      <c r="E166" s="2" t="s">
        <v>21</v>
      </c>
      <c r="F166" s="2" t="s">
        <v>22</v>
      </c>
      <c r="G166" s="2" t="s">
        <v>23</v>
      </c>
      <c r="H166" t="s">
        <v>344</v>
      </c>
      <c r="I166" t="s">
        <v>345</v>
      </c>
      <c r="J166" t="s">
        <v>346</v>
      </c>
      <c r="K166" t="s">
        <v>347</v>
      </c>
      <c r="L166">
        <v>79.47</v>
      </c>
      <c r="M166" t="str" cm="1">
        <f t="array" ref="M166">_xlfn.IFS(L166&lt;=101,"15a101minutos",
AND(L166&gt;101,L166&lt;=188),"102a188minutos",L166&gt;188,"189a274minutos")</f>
        <v>15a101minutos</v>
      </c>
    </row>
    <row r="167" spans="1:13" x14ac:dyDescent="0.25">
      <c r="A167" s="2" t="s">
        <v>209</v>
      </c>
      <c r="B167" s="2" t="s">
        <v>18</v>
      </c>
      <c r="C167" s="2" t="s">
        <v>19</v>
      </c>
      <c r="D167" s="2" t="s">
        <v>20</v>
      </c>
      <c r="E167" s="2" t="s">
        <v>21</v>
      </c>
      <c r="F167" s="2" t="s">
        <v>32</v>
      </c>
      <c r="G167" s="2" t="s">
        <v>33</v>
      </c>
      <c r="H167" t="s">
        <v>393</v>
      </c>
      <c r="I167" t="s">
        <v>394</v>
      </c>
      <c r="J167" t="s">
        <v>395</v>
      </c>
      <c r="K167" t="s">
        <v>396</v>
      </c>
      <c r="L167">
        <v>45.39</v>
      </c>
      <c r="M167" t="str" cm="1">
        <f t="array" ref="M167">_xlfn.IFS(L167&lt;=101,"15a101minutos",
AND(L167&gt;101,L167&lt;=188),"102a188minutos",L167&gt;188,"189a274minutos")</f>
        <v>15a101minutos</v>
      </c>
    </row>
    <row r="168" spans="1:13" x14ac:dyDescent="0.25">
      <c r="A168" s="2" t="s">
        <v>215</v>
      </c>
      <c r="B168" s="2" t="s">
        <v>40</v>
      </c>
      <c r="C168" s="2" t="s">
        <v>41</v>
      </c>
      <c r="D168" s="2" t="s">
        <v>42</v>
      </c>
      <c r="E168" s="2" t="s">
        <v>31</v>
      </c>
      <c r="F168" s="2" t="s">
        <v>32</v>
      </c>
      <c r="G168" s="2" t="s">
        <v>33</v>
      </c>
      <c r="H168" t="s">
        <v>397</v>
      </c>
      <c r="I168" t="s">
        <v>398</v>
      </c>
      <c r="J168" t="s">
        <v>399</v>
      </c>
      <c r="K168" t="s">
        <v>400</v>
      </c>
      <c r="L168">
        <v>153.6</v>
      </c>
      <c r="M168" t="str" cm="1">
        <f t="array" ref="M168">_xlfn.IFS(L168&lt;=101,"15a101minutos",
AND(L168&gt;101,L168&lt;=188),"102a188minutos",L168&gt;188,"189a274minutos")</f>
        <v>102a188minutos</v>
      </c>
    </row>
    <row r="169" spans="1:13" x14ac:dyDescent="0.25">
      <c r="A169" s="2" t="s">
        <v>221</v>
      </c>
      <c r="B169" s="2" t="s">
        <v>40</v>
      </c>
      <c r="C169" s="2" t="s">
        <v>49</v>
      </c>
      <c r="D169" s="2" t="s">
        <v>20</v>
      </c>
      <c r="E169" s="2" t="s">
        <v>31</v>
      </c>
      <c r="F169" s="2" t="s">
        <v>22</v>
      </c>
      <c r="G169" s="2" t="s">
        <v>23</v>
      </c>
      <c r="H169" t="s">
        <v>401</v>
      </c>
      <c r="I169" t="s">
        <v>402</v>
      </c>
      <c r="J169" t="s">
        <v>403</v>
      </c>
      <c r="K169" t="s">
        <v>404</v>
      </c>
      <c r="L169">
        <v>19.97</v>
      </c>
      <c r="M169" t="str" cm="1">
        <f t="array" ref="M169">_xlfn.IFS(L169&lt;=101,"15a101minutos",
AND(L169&gt;101,L169&lt;=188),"102a188minutos",L169&gt;188,"189a274minutos")</f>
        <v>15a101minutos</v>
      </c>
    </row>
    <row r="170" spans="1:13" x14ac:dyDescent="0.25">
      <c r="A170" s="2" t="s">
        <v>227</v>
      </c>
      <c r="B170" s="2" t="s">
        <v>40</v>
      </c>
      <c r="C170" s="2" t="s">
        <v>76</v>
      </c>
      <c r="D170" s="2" t="s">
        <v>20</v>
      </c>
      <c r="E170" s="2" t="s">
        <v>21</v>
      </c>
      <c r="F170" s="2" t="s">
        <v>32</v>
      </c>
      <c r="G170" s="2" t="s">
        <v>33</v>
      </c>
      <c r="H170" t="s">
        <v>405</v>
      </c>
      <c r="I170" t="s">
        <v>406</v>
      </c>
      <c r="J170" t="s">
        <v>407</v>
      </c>
      <c r="K170" t="s">
        <v>408</v>
      </c>
      <c r="L170">
        <v>273.7</v>
      </c>
      <c r="M170" t="str" cm="1">
        <f t="array" ref="M170">_xlfn.IFS(L170&lt;=101,"15a101minutos",
AND(L170&gt;101,L170&lt;=188),"102a188minutos",L170&gt;188,"189a274minutos")</f>
        <v>189a274minutos</v>
      </c>
    </row>
    <row r="171" spans="1:13" x14ac:dyDescent="0.25">
      <c r="A171" s="2" t="s">
        <v>233</v>
      </c>
      <c r="B171" s="2" t="s">
        <v>40</v>
      </c>
      <c r="C171" s="2" t="s">
        <v>41</v>
      </c>
      <c r="D171" s="2" t="s">
        <v>20</v>
      </c>
      <c r="E171" s="2" t="s">
        <v>21</v>
      </c>
      <c r="F171" s="2" t="s">
        <v>22</v>
      </c>
      <c r="G171" s="2" t="s">
        <v>23</v>
      </c>
      <c r="H171" t="s">
        <v>409</v>
      </c>
      <c r="I171" t="s">
        <v>410</v>
      </c>
      <c r="J171" t="s">
        <v>411</v>
      </c>
      <c r="K171" t="s">
        <v>412</v>
      </c>
      <c r="L171">
        <v>85.05</v>
      </c>
      <c r="M171" t="str" cm="1">
        <f t="array" ref="M171">_xlfn.IFS(L171&lt;=101,"15a101minutos",
AND(L171&gt;101,L171&lt;=188),"102a188minutos",L171&gt;188,"189a274minutos")</f>
        <v>15a101minutos</v>
      </c>
    </row>
    <row r="172" spans="1:13" x14ac:dyDescent="0.25">
      <c r="A172" s="2" t="s">
        <v>239</v>
      </c>
      <c r="B172" s="2" t="s">
        <v>40</v>
      </c>
      <c r="C172" s="2" t="s">
        <v>49</v>
      </c>
      <c r="D172" s="2" t="s">
        <v>20</v>
      </c>
      <c r="E172" s="2" t="s">
        <v>21</v>
      </c>
      <c r="F172" s="2" t="s">
        <v>32</v>
      </c>
      <c r="G172" s="2" t="s">
        <v>23</v>
      </c>
      <c r="H172" t="s">
        <v>413</v>
      </c>
      <c r="I172" t="s">
        <v>414</v>
      </c>
      <c r="J172" t="s">
        <v>415</v>
      </c>
      <c r="K172" t="s">
        <v>416</v>
      </c>
      <c r="L172">
        <v>202.13</v>
      </c>
      <c r="M172" t="str" cm="1">
        <f t="array" ref="M172">_xlfn.IFS(L172&lt;=101,"15a101minutos",
AND(L172&gt;101,L172&lt;=188),"102a188minutos",L172&gt;188,"189a274minutos")</f>
        <v>189a274minutos</v>
      </c>
    </row>
    <row r="173" spans="1:13" x14ac:dyDescent="0.25">
      <c r="A173" s="2" t="s">
        <v>245</v>
      </c>
      <c r="B173" s="2" t="s">
        <v>40</v>
      </c>
      <c r="C173" s="2" t="s">
        <v>41</v>
      </c>
      <c r="D173" s="2" t="s">
        <v>30</v>
      </c>
      <c r="E173" s="2" t="s">
        <v>31</v>
      </c>
      <c r="F173" s="2" t="s">
        <v>22</v>
      </c>
      <c r="G173" s="2" t="s">
        <v>33</v>
      </c>
      <c r="H173" t="s">
        <v>417</v>
      </c>
      <c r="I173" t="s">
        <v>418</v>
      </c>
      <c r="J173" t="s">
        <v>419</v>
      </c>
      <c r="K173" t="s">
        <v>420</v>
      </c>
      <c r="L173">
        <v>100.4</v>
      </c>
      <c r="M173" t="str" cm="1">
        <f t="array" ref="M173">_xlfn.IFS(L173&lt;=101,"15a101minutos",
AND(L173&gt;101,L173&lt;=188),"102a188minutos",L173&gt;188,"189a274minutos")</f>
        <v>15a101minutos</v>
      </c>
    </row>
    <row r="174" spans="1:13" x14ac:dyDescent="0.25">
      <c r="A174" s="2" t="s">
        <v>251</v>
      </c>
      <c r="B174" s="2" t="s">
        <v>18</v>
      </c>
      <c r="C174" s="2" t="s">
        <v>49</v>
      </c>
      <c r="D174" s="2" t="s">
        <v>20</v>
      </c>
      <c r="E174" s="2" t="s">
        <v>21</v>
      </c>
      <c r="F174" s="2" t="s">
        <v>32</v>
      </c>
      <c r="G174" s="2" t="s">
        <v>33</v>
      </c>
      <c r="H174" t="s">
        <v>421</v>
      </c>
      <c r="I174" t="s">
        <v>422</v>
      </c>
      <c r="J174" t="s">
        <v>423</v>
      </c>
      <c r="K174" t="s">
        <v>424</v>
      </c>
      <c r="L174">
        <v>160.82</v>
      </c>
      <c r="M174" t="str" cm="1">
        <f t="array" ref="M174">_xlfn.IFS(L174&lt;=101,"15a101minutos",
AND(L174&gt;101,L174&lt;=188),"102a188minutos",L174&gt;188,"189a274minutos")</f>
        <v>102a188minutos</v>
      </c>
    </row>
    <row r="175" spans="1:13" x14ac:dyDescent="0.25">
      <c r="A175" s="2" t="s">
        <v>257</v>
      </c>
      <c r="B175" s="2" t="s">
        <v>18</v>
      </c>
      <c r="C175" s="2" t="s">
        <v>76</v>
      </c>
      <c r="D175" s="2" t="s">
        <v>20</v>
      </c>
      <c r="E175" s="2" t="s">
        <v>21</v>
      </c>
      <c r="F175" s="2" t="s">
        <v>32</v>
      </c>
      <c r="G175" s="2" t="s">
        <v>23</v>
      </c>
      <c r="H175" t="s">
        <v>425</v>
      </c>
      <c r="I175" t="s">
        <v>426</v>
      </c>
      <c r="J175" t="s">
        <v>427</v>
      </c>
      <c r="K175" t="s">
        <v>428</v>
      </c>
      <c r="L175">
        <v>168.55</v>
      </c>
      <c r="M175" t="str" cm="1">
        <f t="array" ref="M175">_xlfn.IFS(L175&lt;=101,"15a101minutos",
AND(L175&gt;101,L175&lt;=188),"102a188minutos",L175&gt;188,"189a274minutos")</f>
        <v>102a188minutos</v>
      </c>
    </row>
    <row r="176" spans="1:13" x14ac:dyDescent="0.25">
      <c r="A176" s="2" t="s">
        <v>263</v>
      </c>
      <c r="B176" s="2" t="s">
        <v>40</v>
      </c>
      <c r="C176" s="2" t="s">
        <v>19</v>
      </c>
      <c r="D176" s="2" t="s">
        <v>20</v>
      </c>
      <c r="E176" s="2" t="s">
        <v>31</v>
      </c>
      <c r="F176" s="2" t="s">
        <v>22</v>
      </c>
      <c r="G176" s="2" t="s">
        <v>23</v>
      </c>
      <c r="H176" t="s">
        <v>429</v>
      </c>
      <c r="I176" t="s">
        <v>430</v>
      </c>
      <c r="J176" t="s">
        <v>431</v>
      </c>
      <c r="K176" t="s">
        <v>432</v>
      </c>
      <c r="L176">
        <v>63.61</v>
      </c>
      <c r="M176" t="str" cm="1">
        <f t="array" ref="M176">_xlfn.IFS(L176&lt;=101,"15a101minutos",
AND(L176&gt;101,L176&lt;=188),"102a188minutos",L176&gt;188,"189a274minutos")</f>
        <v>15a101minutos</v>
      </c>
    </row>
    <row r="177" spans="1:13" x14ac:dyDescent="0.25">
      <c r="A177" s="2" t="s">
        <v>108</v>
      </c>
      <c r="B177" s="2" t="s">
        <v>63</v>
      </c>
      <c r="C177" s="2" t="s">
        <v>49</v>
      </c>
      <c r="D177" s="2" t="s">
        <v>20</v>
      </c>
      <c r="E177" s="2" t="s">
        <v>21</v>
      </c>
      <c r="F177" s="2" t="s">
        <v>32</v>
      </c>
      <c r="G177" s="2" t="s">
        <v>33</v>
      </c>
      <c r="H177" t="s">
        <v>320</v>
      </c>
      <c r="I177" t="s">
        <v>321</v>
      </c>
      <c r="J177" t="s">
        <v>322</v>
      </c>
      <c r="K177" t="s">
        <v>323</v>
      </c>
      <c r="L177">
        <v>142.03</v>
      </c>
      <c r="M177" t="str" cm="1">
        <f t="array" ref="M177">_xlfn.IFS(L177&lt;=101,"15a101minutos",
AND(L177&gt;101,L177&lt;=188),"102a188minutos",L177&gt;188,"189a274minutos")</f>
        <v>102a188minutos</v>
      </c>
    </row>
    <row r="178" spans="1:13" x14ac:dyDescent="0.25">
      <c r="A178" s="2" t="s">
        <v>114</v>
      </c>
      <c r="B178" s="2" t="s">
        <v>63</v>
      </c>
      <c r="C178" s="2" t="s">
        <v>41</v>
      </c>
      <c r="D178" s="2" t="s">
        <v>20</v>
      </c>
      <c r="E178" s="2" t="s">
        <v>31</v>
      </c>
      <c r="F178" s="2" t="s">
        <v>32</v>
      </c>
      <c r="G178" s="2" t="s">
        <v>33</v>
      </c>
      <c r="H178" t="s">
        <v>324</v>
      </c>
      <c r="I178" t="s">
        <v>325</v>
      </c>
      <c r="J178" t="s">
        <v>326</v>
      </c>
      <c r="K178" t="s">
        <v>327</v>
      </c>
      <c r="L178">
        <v>37.53</v>
      </c>
      <c r="M178" t="str" cm="1">
        <f t="array" ref="M178">_xlfn.IFS(L178&lt;=101,"15a101minutos",
AND(L178&gt;101,L178&lt;=188),"102a188minutos",L178&gt;188,"189a274minutos")</f>
        <v>15a101minutos</v>
      </c>
    </row>
    <row r="179" spans="1:13" x14ac:dyDescent="0.25">
      <c r="A179" s="2" t="s">
        <v>120</v>
      </c>
      <c r="B179" s="2" t="s">
        <v>40</v>
      </c>
      <c r="C179" s="2" t="s">
        <v>76</v>
      </c>
      <c r="D179" s="2" t="s">
        <v>42</v>
      </c>
      <c r="E179" s="2" t="s">
        <v>50</v>
      </c>
      <c r="F179" s="2" t="s">
        <v>32</v>
      </c>
      <c r="G179" s="2" t="s">
        <v>33</v>
      </c>
      <c r="H179" t="s">
        <v>328</v>
      </c>
      <c r="I179" t="s">
        <v>329</v>
      </c>
      <c r="J179" t="s">
        <v>330</v>
      </c>
      <c r="K179" t="s">
        <v>331</v>
      </c>
      <c r="L179">
        <v>126.44</v>
      </c>
      <c r="M179" t="str" cm="1">
        <f t="array" ref="M179">_xlfn.IFS(L179&lt;=101,"15a101minutos",
AND(L179&gt;101,L179&lt;=188),"102a188minutos",L179&gt;188,"189a274minutos")</f>
        <v>102a188minutos</v>
      </c>
    </row>
    <row r="180" spans="1:13" x14ac:dyDescent="0.25">
      <c r="A180" s="2" t="s">
        <v>126</v>
      </c>
      <c r="B180" s="2" t="s">
        <v>63</v>
      </c>
      <c r="C180" s="2" t="s">
        <v>41</v>
      </c>
      <c r="D180" s="2" t="s">
        <v>20</v>
      </c>
      <c r="E180" s="2" t="s">
        <v>21</v>
      </c>
      <c r="F180" s="2" t="s">
        <v>22</v>
      </c>
      <c r="G180" s="2" t="s">
        <v>23</v>
      </c>
      <c r="H180" t="s">
        <v>332</v>
      </c>
      <c r="I180" t="s">
        <v>333</v>
      </c>
      <c r="J180" t="s">
        <v>334</v>
      </c>
      <c r="K180" t="s">
        <v>335</v>
      </c>
      <c r="L180">
        <v>131.78</v>
      </c>
      <c r="M180" t="str" cm="1">
        <f t="array" ref="M180">_xlfn.IFS(L180&lt;=101,"15a101minutos",
AND(L180&gt;101,L180&lt;=188),"102a188minutos",L180&gt;188,"189a274minutos")</f>
        <v>102a188minutos</v>
      </c>
    </row>
    <row r="181" spans="1:13" x14ac:dyDescent="0.25">
      <c r="A181" s="2" t="s">
        <v>132</v>
      </c>
      <c r="B181" s="2" t="s">
        <v>40</v>
      </c>
      <c r="C181" s="2" t="s">
        <v>49</v>
      </c>
      <c r="D181" s="2" t="s">
        <v>20</v>
      </c>
      <c r="E181" s="2" t="s">
        <v>31</v>
      </c>
      <c r="F181" s="2" t="s">
        <v>22</v>
      </c>
      <c r="G181" s="2" t="s">
        <v>23</v>
      </c>
      <c r="H181" t="s">
        <v>336</v>
      </c>
      <c r="I181" t="s">
        <v>337</v>
      </c>
      <c r="J181" t="s">
        <v>338</v>
      </c>
      <c r="K181" t="s">
        <v>339</v>
      </c>
      <c r="L181">
        <v>101.25</v>
      </c>
      <c r="M181" t="str" cm="1">
        <f t="array" ref="M181">_xlfn.IFS(L181&lt;=101,"15a101minutos",
AND(L181&gt;101,L181&lt;=188),"102a188minutos",L181&gt;188,"189a274minutos")</f>
        <v>102a188minutos</v>
      </c>
    </row>
    <row r="182" spans="1:13" x14ac:dyDescent="0.25">
      <c r="A182" s="2" t="s">
        <v>138</v>
      </c>
      <c r="B182" s="2" t="s">
        <v>63</v>
      </c>
      <c r="C182" s="2" t="s">
        <v>19</v>
      </c>
      <c r="D182" s="2" t="s">
        <v>20</v>
      </c>
      <c r="E182" s="2" t="s">
        <v>50</v>
      </c>
      <c r="F182" s="2" t="s">
        <v>22</v>
      </c>
      <c r="G182" s="2" t="s">
        <v>23</v>
      </c>
      <c r="H182" t="s">
        <v>340</v>
      </c>
      <c r="I182" t="s">
        <v>341</v>
      </c>
      <c r="J182" t="s">
        <v>342</v>
      </c>
      <c r="K182" t="s">
        <v>343</v>
      </c>
      <c r="L182">
        <v>194.22</v>
      </c>
      <c r="M182" t="str" cm="1">
        <f t="array" ref="M182">_xlfn.IFS(L182&lt;=101,"15a101minutos",
AND(L182&gt;101,L182&lt;=188),"102a188minutos",L182&gt;188,"189a274minutos")</f>
        <v>189a274minutos</v>
      </c>
    </row>
    <row r="183" spans="1:13" x14ac:dyDescent="0.25">
      <c r="A183" s="2" t="s">
        <v>144</v>
      </c>
      <c r="B183" s="2" t="s">
        <v>18</v>
      </c>
      <c r="C183" s="2" t="s">
        <v>76</v>
      </c>
      <c r="D183" s="2" t="s">
        <v>30</v>
      </c>
      <c r="E183" s="2" t="s">
        <v>21</v>
      </c>
      <c r="F183" s="2" t="s">
        <v>22</v>
      </c>
      <c r="G183" s="2" t="s">
        <v>23</v>
      </c>
      <c r="H183" t="s">
        <v>344</v>
      </c>
      <c r="I183" t="s">
        <v>345</v>
      </c>
      <c r="J183" t="s">
        <v>346</v>
      </c>
      <c r="K183" t="s">
        <v>347</v>
      </c>
      <c r="L183">
        <v>79.47</v>
      </c>
      <c r="M183" t="str" cm="1">
        <f t="array" ref="M183">_xlfn.IFS(L183&lt;=101,"15a101minutos",
AND(L183&gt;101,L183&lt;=188),"102a188minutos",L183&gt;188,"189a274minutos")</f>
        <v>15a101minutos</v>
      </c>
    </row>
    <row r="184" spans="1:13" x14ac:dyDescent="0.25">
      <c r="A184" s="2" t="s">
        <v>149</v>
      </c>
      <c r="B184" s="2" t="s">
        <v>63</v>
      </c>
      <c r="C184" s="2" t="s">
        <v>49</v>
      </c>
      <c r="D184" s="2" t="s">
        <v>30</v>
      </c>
      <c r="E184" s="2" t="s">
        <v>50</v>
      </c>
      <c r="F184" s="2" t="s">
        <v>32</v>
      </c>
      <c r="G184" s="2" t="s">
        <v>33</v>
      </c>
      <c r="H184" t="s">
        <v>348</v>
      </c>
      <c r="I184" t="s">
        <v>349</v>
      </c>
      <c r="J184" t="s">
        <v>350</v>
      </c>
      <c r="K184" t="s">
        <v>351</v>
      </c>
      <c r="L184" t="s">
        <v>352</v>
      </c>
      <c r="M184" t="str" cm="1">
        <f t="array" ref="M184">_xlfn.IFS(L184&lt;=101,"15a101minutos",
AND(L184&gt;101,L184&lt;=188),"102a188minutos",L184&gt;188,"189a274minutos")</f>
        <v>189a274minutos</v>
      </c>
    </row>
    <row r="185" spans="1:13" x14ac:dyDescent="0.25">
      <c r="A185" s="2" t="s">
        <v>155</v>
      </c>
      <c r="B185" s="2" t="s">
        <v>18</v>
      </c>
      <c r="C185" s="2" t="s">
        <v>76</v>
      </c>
      <c r="D185" s="2" t="s">
        <v>20</v>
      </c>
      <c r="E185" s="2" t="s">
        <v>21</v>
      </c>
      <c r="F185" s="2" t="s">
        <v>22</v>
      </c>
      <c r="G185" s="2" t="s">
        <v>23</v>
      </c>
      <c r="H185" t="s">
        <v>353</v>
      </c>
      <c r="I185" t="s">
        <v>354</v>
      </c>
      <c r="J185" t="s">
        <v>355</v>
      </c>
      <c r="K185" t="s">
        <v>356</v>
      </c>
      <c r="L185" t="s">
        <v>357</v>
      </c>
      <c r="M185" t="str" cm="1">
        <f t="array" ref="M185">_xlfn.IFS(L185&lt;=101,"15a101minutos",
AND(L185&gt;101,L185&lt;=188),"102a188minutos",L185&gt;188,"189a274minutos")</f>
        <v>189a274minutos</v>
      </c>
    </row>
    <row r="186" spans="1:13" x14ac:dyDescent="0.25">
      <c r="A186" s="2" t="s">
        <v>161</v>
      </c>
      <c r="B186" s="2" t="s">
        <v>40</v>
      </c>
      <c r="C186" s="2" t="s">
        <v>19</v>
      </c>
      <c r="D186" s="2" t="s">
        <v>42</v>
      </c>
      <c r="E186" s="2" t="s">
        <v>31</v>
      </c>
      <c r="F186" s="2" t="s">
        <v>32</v>
      </c>
      <c r="G186" s="2" t="s">
        <v>33</v>
      </c>
      <c r="H186" t="s">
        <v>358</v>
      </c>
      <c r="I186" t="s">
        <v>359</v>
      </c>
      <c r="J186" t="s">
        <v>360</v>
      </c>
      <c r="K186" t="s">
        <v>361</v>
      </c>
      <c r="L186" t="s">
        <v>362</v>
      </c>
      <c r="M186" t="str" cm="1">
        <f t="array" ref="M186">_xlfn.IFS(L186&lt;=101,"15a101minutos",
AND(L186&gt;101,L186&lt;=188),"102a188minutos",L186&gt;188,"189a274minutos")</f>
        <v>189a274minutos</v>
      </c>
    </row>
    <row r="187" spans="1:13" x14ac:dyDescent="0.25">
      <c r="A187" s="2" t="s">
        <v>209</v>
      </c>
      <c r="B187" s="2" t="s">
        <v>18</v>
      </c>
      <c r="C187" s="2" t="s">
        <v>19</v>
      </c>
      <c r="D187" s="2" t="s">
        <v>20</v>
      </c>
      <c r="E187" s="2" t="s">
        <v>21</v>
      </c>
      <c r="F187" s="2" t="s">
        <v>32</v>
      </c>
      <c r="G187" s="2" t="s">
        <v>33</v>
      </c>
      <c r="H187" t="s">
        <v>393</v>
      </c>
      <c r="I187" t="s">
        <v>394</v>
      </c>
      <c r="J187" t="s">
        <v>395</v>
      </c>
      <c r="K187" t="s">
        <v>396</v>
      </c>
      <c r="L187">
        <v>45.39</v>
      </c>
      <c r="M187" t="str" cm="1">
        <f t="array" ref="M187">_xlfn.IFS(L187&lt;=101,"15a101minutos",
AND(L187&gt;101,L187&lt;=188),"102a188minutos",L187&gt;188,"189a274minutos")</f>
        <v>15a101minutos</v>
      </c>
    </row>
    <row r="188" spans="1:13" x14ac:dyDescent="0.25">
      <c r="A188" s="2" t="s">
        <v>215</v>
      </c>
      <c r="B188" s="2" t="s">
        <v>40</v>
      </c>
      <c r="C188" s="2" t="s">
        <v>41</v>
      </c>
      <c r="D188" s="2" t="s">
        <v>42</v>
      </c>
      <c r="E188" s="2" t="s">
        <v>31</v>
      </c>
      <c r="F188" s="2" t="s">
        <v>32</v>
      </c>
      <c r="G188" s="2" t="s">
        <v>33</v>
      </c>
      <c r="H188" t="s">
        <v>397</v>
      </c>
      <c r="I188" t="s">
        <v>398</v>
      </c>
      <c r="J188" t="s">
        <v>399</v>
      </c>
      <c r="K188" t="s">
        <v>400</v>
      </c>
      <c r="L188">
        <v>153.6</v>
      </c>
      <c r="M188" t="str" cm="1">
        <f t="array" ref="M188">_xlfn.IFS(L188&lt;=101,"15a101minutos",
AND(L188&gt;101,L188&lt;=188),"102a188minutos",L188&gt;188,"189a274minutos")</f>
        <v>102a188minutos</v>
      </c>
    </row>
    <row r="189" spans="1:13" x14ac:dyDescent="0.25">
      <c r="A189" s="2" t="s">
        <v>221</v>
      </c>
      <c r="B189" s="2" t="s">
        <v>40</v>
      </c>
      <c r="C189" s="2" t="s">
        <v>49</v>
      </c>
      <c r="D189" s="2" t="s">
        <v>20</v>
      </c>
      <c r="E189" s="2" t="s">
        <v>31</v>
      </c>
      <c r="F189" s="2" t="s">
        <v>22</v>
      </c>
      <c r="G189" s="2" t="s">
        <v>23</v>
      </c>
      <c r="H189" t="s">
        <v>401</v>
      </c>
      <c r="I189" t="s">
        <v>402</v>
      </c>
      <c r="J189" t="s">
        <v>403</v>
      </c>
      <c r="K189" t="s">
        <v>404</v>
      </c>
      <c r="L189">
        <v>19.97</v>
      </c>
      <c r="M189" t="str" cm="1">
        <f t="array" ref="M189">_xlfn.IFS(L189&lt;=101,"15a101minutos",
AND(L189&gt;101,L189&lt;=188),"102a188minutos",L189&gt;188,"189a274minutos")</f>
        <v>15a101minutos</v>
      </c>
    </row>
    <row r="190" spans="1:13" x14ac:dyDescent="0.25">
      <c r="A190" s="2" t="s">
        <v>227</v>
      </c>
      <c r="B190" s="2" t="s">
        <v>40</v>
      </c>
      <c r="C190" s="2" t="s">
        <v>76</v>
      </c>
      <c r="D190" s="2" t="s">
        <v>20</v>
      </c>
      <c r="E190" s="2" t="s">
        <v>21</v>
      </c>
      <c r="F190" s="2" t="s">
        <v>32</v>
      </c>
      <c r="G190" s="2" t="s">
        <v>33</v>
      </c>
      <c r="H190" t="s">
        <v>405</v>
      </c>
      <c r="I190" t="s">
        <v>406</v>
      </c>
      <c r="J190" t="s">
        <v>407</v>
      </c>
      <c r="K190" t="s">
        <v>408</v>
      </c>
      <c r="L190">
        <v>273.7</v>
      </c>
      <c r="M190" t="str" cm="1">
        <f t="array" ref="M190">_xlfn.IFS(L190&lt;=101,"15a101minutos",
AND(L190&gt;101,L190&lt;=188),"102a188minutos",L190&gt;188,"189a274minutos")</f>
        <v>189a274minutos</v>
      </c>
    </row>
    <row r="191" spans="1:13" x14ac:dyDescent="0.25">
      <c r="A191" s="2" t="s">
        <v>233</v>
      </c>
      <c r="B191" s="2" t="s">
        <v>40</v>
      </c>
      <c r="C191" s="2" t="s">
        <v>41</v>
      </c>
      <c r="D191" s="2" t="s">
        <v>20</v>
      </c>
      <c r="E191" s="2" t="s">
        <v>21</v>
      </c>
      <c r="F191" s="2" t="s">
        <v>22</v>
      </c>
      <c r="G191" s="2" t="s">
        <v>23</v>
      </c>
      <c r="H191" t="s">
        <v>409</v>
      </c>
      <c r="I191" t="s">
        <v>410</v>
      </c>
      <c r="J191" t="s">
        <v>411</v>
      </c>
      <c r="K191" t="s">
        <v>412</v>
      </c>
      <c r="L191">
        <v>85.05</v>
      </c>
      <c r="M191" t="str" cm="1">
        <f t="array" ref="M191">_xlfn.IFS(L191&lt;=101,"15a101minutos",
AND(L191&gt;101,L191&lt;=188),"102a188minutos",L191&gt;188,"189a274minutos")</f>
        <v>15a101minutos</v>
      </c>
    </row>
    <row r="192" spans="1:13" x14ac:dyDescent="0.25">
      <c r="A192" s="2" t="s">
        <v>239</v>
      </c>
      <c r="B192" s="2" t="s">
        <v>40</v>
      </c>
      <c r="C192" s="2" t="s">
        <v>49</v>
      </c>
      <c r="D192" s="2" t="s">
        <v>20</v>
      </c>
      <c r="E192" s="2" t="s">
        <v>21</v>
      </c>
      <c r="F192" s="2" t="s">
        <v>32</v>
      </c>
      <c r="G192" s="2" t="s">
        <v>23</v>
      </c>
      <c r="H192" t="s">
        <v>413</v>
      </c>
      <c r="I192" t="s">
        <v>414</v>
      </c>
      <c r="J192" t="s">
        <v>415</v>
      </c>
      <c r="K192" t="s">
        <v>416</v>
      </c>
      <c r="L192">
        <v>202.13</v>
      </c>
      <c r="M192" t="str" cm="1">
        <f t="array" ref="M192">_xlfn.IFS(L192&lt;=101,"15a101minutos",
AND(L192&gt;101,L192&lt;=188),"102a188minutos",L192&gt;188,"189a274minutos")</f>
        <v>189a274minutos</v>
      </c>
    </row>
    <row r="193" spans="1:13" x14ac:dyDescent="0.25">
      <c r="A193" s="2" t="s">
        <v>245</v>
      </c>
      <c r="B193" s="2" t="s">
        <v>40</v>
      </c>
      <c r="C193" s="2" t="s">
        <v>41</v>
      </c>
      <c r="D193" s="2" t="s">
        <v>30</v>
      </c>
      <c r="E193" s="2" t="s">
        <v>31</v>
      </c>
      <c r="F193" s="2" t="s">
        <v>22</v>
      </c>
      <c r="G193" s="2" t="s">
        <v>33</v>
      </c>
      <c r="H193" t="s">
        <v>417</v>
      </c>
      <c r="I193" t="s">
        <v>418</v>
      </c>
      <c r="J193" t="s">
        <v>419</v>
      </c>
      <c r="K193" t="s">
        <v>420</v>
      </c>
      <c r="L193">
        <v>100.4</v>
      </c>
      <c r="M193" t="str" cm="1">
        <f t="array" ref="M193">_xlfn.IFS(L193&lt;=101,"15a101minutos",
AND(L193&gt;101,L193&lt;=188),"102a188minutos",L193&gt;188,"189a274minutos")</f>
        <v>15a101minutos</v>
      </c>
    </row>
    <row r="194" spans="1:13" x14ac:dyDescent="0.25">
      <c r="A194" s="2" t="s">
        <v>251</v>
      </c>
      <c r="B194" s="2" t="s">
        <v>18</v>
      </c>
      <c r="C194" s="2" t="s">
        <v>49</v>
      </c>
      <c r="D194" s="2" t="s">
        <v>20</v>
      </c>
      <c r="E194" s="2" t="s">
        <v>21</v>
      </c>
      <c r="F194" s="2" t="s">
        <v>32</v>
      </c>
      <c r="G194" s="2" t="s">
        <v>33</v>
      </c>
      <c r="H194" t="s">
        <v>421</v>
      </c>
      <c r="I194" t="s">
        <v>422</v>
      </c>
      <c r="J194" t="s">
        <v>423</v>
      </c>
      <c r="K194" t="s">
        <v>424</v>
      </c>
      <c r="L194">
        <v>160.82</v>
      </c>
      <c r="M194" t="str" cm="1">
        <f t="array" ref="M194">_xlfn.IFS(L194&lt;=101,"15a101minutos",
AND(L194&gt;101,L194&lt;=188),"102a188minutos",L194&gt;188,"189a274minutos")</f>
        <v>102a188minutos</v>
      </c>
    </row>
    <row r="195" spans="1:13" x14ac:dyDescent="0.25">
      <c r="A195" s="2" t="s">
        <v>257</v>
      </c>
      <c r="B195" s="2" t="s">
        <v>18</v>
      </c>
      <c r="C195" s="2" t="s">
        <v>76</v>
      </c>
      <c r="D195" s="2" t="s">
        <v>20</v>
      </c>
      <c r="E195" s="2" t="s">
        <v>21</v>
      </c>
      <c r="F195" s="2" t="s">
        <v>32</v>
      </c>
      <c r="G195" s="2" t="s">
        <v>23</v>
      </c>
      <c r="H195" t="s">
        <v>425</v>
      </c>
      <c r="I195" t="s">
        <v>426</v>
      </c>
      <c r="J195" t="s">
        <v>427</v>
      </c>
      <c r="K195" t="s">
        <v>428</v>
      </c>
      <c r="L195">
        <v>168.55</v>
      </c>
      <c r="M195" t="str" cm="1">
        <f t="array" ref="M195">_xlfn.IFS(L195&lt;=101,"15a101minutos",
AND(L195&gt;101,L195&lt;=188),"102a188minutos",L195&gt;188,"189a274minutos")</f>
        <v>102a188minutos</v>
      </c>
    </row>
    <row r="196" spans="1:13" x14ac:dyDescent="0.25">
      <c r="A196" s="2" t="s">
        <v>263</v>
      </c>
      <c r="B196" s="2" t="s">
        <v>40</v>
      </c>
      <c r="C196" s="2" t="s">
        <v>19</v>
      </c>
      <c r="D196" s="2" t="s">
        <v>20</v>
      </c>
      <c r="E196" s="2" t="s">
        <v>31</v>
      </c>
      <c r="F196" s="2" t="s">
        <v>22</v>
      </c>
      <c r="G196" s="2" t="s">
        <v>23</v>
      </c>
      <c r="H196" t="s">
        <v>429</v>
      </c>
      <c r="I196" t="s">
        <v>430</v>
      </c>
      <c r="J196" t="s">
        <v>431</v>
      </c>
      <c r="K196" t="s">
        <v>432</v>
      </c>
      <c r="L196">
        <v>63.61</v>
      </c>
      <c r="M196" t="str" cm="1">
        <f t="array" ref="M196">_xlfn.IFS(L196&lt;=101,"15a101minutos",
AND(L196&gt;101,L196&lt;=188),"102a188minutos",L196&gt;188,"189a274minutos")</f>
        <v>15a101minutos</v>
      </c>
    </row>
    <row r="197" spans="1:13" x14ac:dyDescent="0.25">
      <c r="A197" s="2" t="s">
        <v>126</v>
      </c>
      <c r="B197" s="2" t="s">
        <v>63</v>
      </c>
      <c r="C197" s="2" t="s">
        <v>41</v>
      </c>
      <c r="D197" s="2" t="s">
        <v>20</v>
      </c>
      <c r="E197" s="2" t="s">
        <v>21</v>
      </c>
      <c r="F197" s="2" t="s">
        <v>22</v>
      </c>
      <c r="G197" s="2" t="s">
        <v>23</v>
      </c>
      <c r="H197" t="s">
        <v>332</v>
      </c>
      <c r="I197" t="s">
        <v>333</v>
      </c>
      <c r="J197" t="s">
        <v>334</v>
      </c>
      <c r="K197" t="s">
        <v>335</v>
      </c>
      <c r="L197">
        <v>131.78</v>
      </c>
      <c r="M197" t="str" cm="1">
        <f t="array" ref="M197">_xlfn.IFS(L197&lt;=101,"15a101minutos",
AND(L197&gt;101,L197&lt;=188),"102a188minutos",L197&gt;188,"189a274minutos")</f>
        <v>102a188minutos</v>
      </c>
    </row>
    <row r="198" spans="1:13" x14ac:dyDescent="0.25">
      <c r="A198" s="2" t="s">
        <v>132</v>
      </c>
      <c r="B198" s="2" t="s">
        <v>40</v>
      </c>
      <c r="C198" s="2" t="s">
        <v>49</v>
      </c>
      <c r="D198" s="2" t="s">
        <v>20</v>
      </c>
      <c r="E198" s="2" t="s">
        <v>31</v>
      </c>
      <c r="F198" s="2" t="s">
        <v>22</v>
      </c>
      <c r="G198" s="2" t="s">
        <v>23</v>
      </c>
      <c r="H198" t="s">
        <v>336</v>
      </c>
      <c r="I198" t="s">
        <v>337</v>
      </c>
      <c r="J198" t="s">
        <v>338</v>
      </c>
      <c r="K198" t="s">
        <v>339</v>
      </c>
      <c r="L198">
        <v>101.25</v>
      </c>
      <c r="M198" t="str" cm="1">
        <f t="array" ref="M198">_xlfn.IFS(L198&lt;=101,"15a101minutos",
AND(L198&gt;101,L198&lt;=188),"102a188minutos",L198&gt;188,"189a274minutos")</f>
        <v>102a188minutos</v>
      </c>
    </row>
    <row r="199" spans="1:13" x14ac:dyDescent="0.25">
      <c r="A199" s="2" t="s">
        <v>138</v>
      </c>
      <c r="B199" s="2" t="s">
        <v>63</v>
      </c>
      <c r="C199" s="2" t="s">
        <v>19</v>
      </c>
      <c r="D199" s="2" t="s">
        <v>20</v>
      </c>
      <c r="E199" s="2" t="s">
        <v>50</v>
      </c>
      <c r="F199" s="2" t="s">
        <v>22</v>
      </c>
      <c r="G199" s="2" t="s">
        <v>23</v>
      </c>
      <c r="H199" t="s">
        <v>340</v>
      </c>
      <c r="I199" t="s">
        <v>341</v>
      </c>
      <c r="J199" t="s">
        <v>342</v>
      </c>
      <c r="K199" t="s">
        <v>343</v>
      </c>
      <c r="L199">
        <v>194.22</v>
      </c>
      <c r="M199" t="str" cm="1">
        <f t="array" ref="M199">_xlfn.IFS(L199&lt;=101,"15a101minutos",
AND(L199&gt;101,L199&lt;=188),"102a188minutos",L199&gt;188,"189a274minutos")</f>
        <v>189a274minutos</v>
      </c>
    </row>
    <row r="200" spans="1:13" x14ac:dyDescent="0.25">
      <c r="A200" s="2" t="s">
        <v>144</v>
      </c>
      <c r="B200" s="2" t="s">
        <v>18</v>
      </c>
      <c r="C200" s="2" t="s">
        <v>76</v>
      </c>
      <c r="D200" s="2" t="s">
        <v>30</v>
      </c>
      <c r="E200" s="2" t="s">
        <v>21</v>
      </c>
      <c r="F200" s="2" t="s">
        <v>22</v>
      </c>
      <c r="G200" s="2" t="s">
        <v>23</v>
      </c>
      <c r="H200" t="s">
        <v>344</v>
      </c>
      <c r="I200" t="s">
        <v>345</v>
      </c>
      <c r="J200" t="s">
        <v>346</v>
      </c>
      <c r="K200" t="s">
        <v>347</v>
      </c>
      <c r="L200">
        <v>79.47</v>
      </c>
      <c r="M200" t="str" cm="1">
        <f t="array" ref="M200">_xlfn.IFS(L200&lt;=101,"15a101minutos",
AND(L200&gt;101,L200&lt;=188),"102a188minutos",L200&gt;188,"189a274minutos")</f>
        <v>15a101minutos</v>
      </c>
    </row>
    <row r="201" spans="1:13" x14ac:dyDescent="0.25">
      <c r="A201" s="2" t="s">
        <v>149</v>
      </c>
      <c r="B201" s="2" t="s">
        <v>63</v>
      </c>
      <c r="C201" s="2" t="s">
        <v>49</v>
      </c>
      <c r="D201" s="2" t="s">
        <v>30</v>
      </c>
      <c r="E201" s="2" t="s">
        <v>50</v>
      </c>
      <c r="F201" s="2" t="s">
        <v>32</v>
      </c>
      <c r="G201" s="2" t="s">
        <v>33</v>
      </c>
      <c r="H201" t="s">
        <v>348</v>
      </c>
      <c r="I201" t="s">
        <v>349</v>
      </c>
      <c r="J201" t="s">
        <v>350</v>
      </c>
      <c r="K201" t="s">
        <v>351</v>
      </c>
      <c r="L201" t="s">
        <v>352</v>
      </c>
      <c r="M201" t="str" cm="1">
        <f t="array" ref="M201">_xlfn.IFS(L201&lt;=101,"15a101minutos",
AND(L201&gt;101,L201&lt;=188),"102a188minutos",L201&gt;188,"189a274minutos")</f>
        <v>189a274minutos</v>
      </c>
    </row>
    <row r="202" spans="1:13" x14ac:dyDescent="0.25">
      <c r="A202" s="2" t="s">
        <v>155</v>
      </c>
      <c r="B202" s="2" t="s">
        <v>18</v>
      </c>
      <c r="C202" s="2" t="s">
        <v>76</v>
      </c>
      <c r="D202" s="2" t="s">
        <v>20</v>
      </c>
      <c r="E202" s="2" t="s">
        <v>21</v>
      </c>
      <c r="F202" s="2" t="s">
        <v>22</v>
      </c>
      <c r="G202" s="2" t="s">
        <v>23</v>
      </c>
      <c r="H202" t="s">
        <v>353</v>
      </c>
      <c r="I202" t="s">
        <v>354</v>
      </c>
      <c r="J202" t="s">
        <v>355</v>
      </c>
      <c r="K202" t="s">
        <v>356</v>
      </c>
      <c r="L202" t="s">
        <v>357</v>
      </c>
      <c r="M202" t="str" cm="1">
        <f t="array" ref="M202">_xlfn.IFS(L202&lt;=101,"15a101minutos",
AND(L202&gt;101,L202&lt;=188),"102a188minutos",L202&gt;188,"189a274minutos")</f>
        <v>189a274minutos</v>
      </c>
    </row>
    <row r="203" spans="1:13" x14ac:dyDescent="0.25">
      <c r="A203" s="2" t="s">
        <v>161</v>
      </c>
      <c r="B203" s="2" t="s">
        <v>40</v>
      </c>
      <c r="C203" s="2" t="s">
        <v>19</v>
      </c>
      <c r="D203" s="2" t="s">
        <v>42</v>
      </c>
      <c r="E203" s="2" t="s">
        <v>31</v>
      </c>
      <c r="F203" s="2" t="s">
        <v>32</v>
      </c>
      <c r="G203" s="2" t="s">
        <v>33</v>
      </c>
      <c r="H203" t="s">
        <v>358</v>
      </c>
      <c r="I203" t="s">
        <v>359</v>
      </c>
      <c r="J203" t="s">
        <v>360</v>
      </c>
      <c r="K203" t="s">
        <v>361</v>
      </c>
      <c r="L203" t="s">
        <v>362</v>
      </c>
      <c r="M203" t="str" cm="1">
        <f t="array" ref="M203">_xlfn.IFS(L203&lt;=101,"15a101minutos",
AND(L203&gt;101,L203&lt;=188),"102a188minutos",L203&gt;188,"189a274minutos")</f>
        <v>189a274minutos</v>
      </c>
    </row>
    <row r="204" spans="1:13" x14ac:dyDescent="0.25">
      <c r="A204" s="2" t="s">
        <v>167</v>
      </c>
      <c r="B204" s="2" t="s">
        <v>63</v>
      </c>
      <c r="C204" s="2" t="s">
        <v>41</v>
      </c>
      <c r="D204" s="2" t="s">
        <v>30</v>
      </c>
      <c r="E204" s="2" t="s">
        <v>50</v>
      </c>
      <c r="F204" s="2" t="s">
        <v>32</v>
      </c>
      <c r="G204" s="2" t="s">
        <v>23</v>
      </c>
      <c r="H204" t="s">
        <v>363</v>
      </c>
      <c r="I204" t="s">
        <v>364</v>
      </c>
      <c r="J204" t="s">
        <v>365</v>
      </c>
      <c r="K204" t="s">
        <v>366</v>
      </c>
      <c r="L204" t="s">
        <v>367</v>
      </c>
      <c r="M204" t="str" cm="1">
        <f t="array" ref="M204">_xlfn.IFS(L204&lt;=101,"15a101minutos",
AND(L204&gt;101,L204&lt;=188),"102a188minutos",L204&gt;188,"189a274minutos")</f>
        <v>189a274minutos</v>
      </c>
    </row>
    <row r="205" spans="1:13" x14ac:dyDescent="0.25">
      <c r="A205" s="2" t="s">
        <v>173</v>
      </c>
      <c r="B205" s="2" t="s">
        <v>18</v>
      </c>
      <c r="C205" s="2" t="s">
        <v>49</v>
      </c>
      <c r="D205" s="2" t="s">
        <v>42</v>
      </c>
      <c r="E205" s="2" t="s">
        <v>21</v>
      </c>
      <c r="F205" s="2" t="s">
        <v>22</v>
      </c>
      <c r="G205" s="2" t="s">
        <v>33</v>
      </c>
      <c r="H205" t="s">
        <v>368</v>
      </c>
      <c r="I205" t="s">
        <v>369</v>
      </c>
      <c r="J205" t="s">
        <v>370</v>
      </c>
      <c r="K205" t="s">
        <v>371</v>
      </c>
      <c r="L205" t="s">
        <v>372</v>
      </c>
      <c r="M205" t="str" cm="1">
        <f t="array" ref="M205">_xlfn.IFS(L205&lt;=101,"15a101minutos",
AND(L205&gt;101,L205&lt;=188),"102a188minutos",L205&gt;188,"189a274minutos")</f>
        <v>189a274minutos</v>
      </c>
    </row>
    <row r="206" spans="1:13" x14ac:dyDescent="0.25">
      <c r="A206" s="2" t="s">
        <v>179</v>
      </c>
      <c r="B206" s="2" t="s">
        <v>40</v>
      </c>
      <c r="C206" s="2" t="s">
        <v>76</v>
      </c>
      <c r="D206" s="2" t="s">
        <v>20</v>
      </c>
      <c r="E206" s="2" t="s">
        <v>31</v>
      </c>
      <c r="F206" s="2" t="s">
        <v>32</v>
      </c>
      <c r="G206" s="2" t="s">
        <v>23</v>
      </c>
      <c r="H206" t="s">
        <v>373</v>
      </c>
      <c r="I206" t="s">
        <v>374</v>
      </c>
      <c r="J206" t="s">
        <v>375</v>
      </c>
      <c r="K206" t="s">
        <v>376</v>
      </c>
      <c r="L206" t="s">
        <v>377</v>
      </c>
      <c r="M206" t="str" cm="1">
        <f t="array" ref="M206">_xlfn.IFS(L206&lt;=101,"15a101minutos",
AND(L206&gt;101,L206&lt;=188),"102a188minutos",L206&gt;188,"189a274minutos")</f>
        <v>189a274minutos</v>
      </c>
    </row>
    <row r="207" spans="1:13" x14ac:dyDescent="0.25">
      <c r="A207" s="2" t="s">
        <v>185</v>
      </c>
      <c r="B207" s="2" t="s">
        <v>63</v>
      </c>
      <c r="C207" s="2" t="s">
        <v>19</v>
      </c>
      <c r="D207" s="2" t="s">
        <v>30</v>
      </c>
      <c r="E207" s="2" t="s">
        <v>50</v>
      </c>
      <c r="F207" s="2" t="s">
        <v>32</v>
      </c>
      <c r="G207" s="2" t="s">
        <v>33</v>
      </c>
      <c r="H207" t="s">
        <v>378</v>
      </c>
      <c r="I207" t="s">
        <v>379</v>
      </c>
      <c r="J207" t="s">
        <v>380</v>
      </c>
      <c r="K207" t="s">
        <v>379</v>
      </c>
      <c r="L207" t="s">
        <v>381</v>
      </c>
      <c r="M207" t="str" cm="1">
        <f t="array" ref="M207">_xlfn.IFS(L207&lt;=101,"15a101minutos",
AND(L207&gt;101,L207&lt;=188),"102a188minutos",L207&gt;188,"189a274minutos")</f>
        <v>189a274minutos</v>
      </c>
    </row>
    <row r="208" spans="1:13" x14ac:dyDescent="0.25">
      <c r="A208" s="2" t="s">
        <v>191</v>
      </c>
      <c r="B208" s="2" t="s">
        <v>18</v>
      </c>
      <c r="C208" s="2" t="s">
        <v>41</v>
      </c>
      <c r="D208" s="2" t="s">
        <v>42</v>
      </c>
      <c r="E208" s="2" t="s">
        <v>21</v>
      </c>
      <c r="F208" s="2" t="s">
        <v>22</v>
      </c>
      <c r="G208" s="2" t="s">
        <v>23</v>
      </c>
      <c r="H208" t="s">
        <v>382</v>
      </c>
      <c r="I208" t="s">
        <v>351</v>
      </c>
      <c r="J208" t="s">
        <v>383</v>
      </c>
      <c r="K208" t="s">
        <v>384</v>
      </c>
      <c r="L208" t="s">
        <v>385</v>
      </c>
      <c r="M208" t="str" cm="1">
        <f t="array" ref="M208">_xlfn.IFS(L208&lt;=101,"15a101minutos",
AND(L208&gt;101,L208&lt;=188),"102a188minutos",L208&gt;188,"189a274minutos")</f>
        <v>189a274minutos</v>
      </c>
    </row>
    <row r="209" spans="1:13" x14ac:dyDescent="0.25">
      <c r="A209" s="2" t="s">
        <v>197</v>
      </c>
      <c r="B209" s="2" t="s">
        <v>40</v>
      </c>
      <c r="C209" s="2" t="s">
        <v>49</v>
      </c>
      <c r="D209" s="2" t="s">
        <v>20</v>
      </c>
      <c r="E209" s="2" t="s">
        <v>31</v>
      </c>
      <c r="F209" s="2" t="s">
        <v>32</v>
      </c>
      <c r="G209" s="2" t="s">
        <v>23</v>
      </c>
      <c r="H209" t="s">
        <v>386</v>
      </c>
      <c r="I209" t="s">
        <v>366</v>
      </c>
      <c r="J209" t="s">
        <v>387</v>
      </c>
      <c r="K209" t="s">
        <v>354</v>
      </c>
      <c r="L209" t="s">
        <v>388</v>
      </c>
      <c r="M209" t="str" cm="1">
        <f t="array" ref="M209">_xlfn.IFS(L209&lt;=101,"15a101minutos",
AND(L209&gt;101,L209&lt;=188),"102a188minutos",L209&gt;188,"189a274minutos")</f>
        <v>189a274minutos</v>
      </c>
    </row>
    <row r="210" spans="1:13" x14ac:dyDescent="0.25">
      <c r="A210" s="2" t="s">
        <v>203</v>
      </c>
      <c r="B210" s="2" t="s">
        <v>63</v>
      </c>
      <c r="C210" s="2" t="s">
        <v>76</v>
      </c>
      <c r="D210" s="2" t="s">
        <v>30</v>
      </c>
      <c r="E210" s="2" t="s">
        <v>50</v>
      </c>
      <c r="F210" s="2" t="s">
        <v>32</v>
      </c>
      <c r="G210" s="2" t="s">
        <v>33</v>
      </c>
      <c r="H210" t="s">
        <v>389</v>
      </c>
      <c r="I210" t="s">
        <v>371</v>
      </c>
      <c r="J210" t="s">
        <v>390</v>
      </c>
      <c r="K210" t="s">
        <v>391</v>
      </c>
      <c r="L210" t="s">
        <v>392</v>
      </c>
      <c r="M210" t="str" cm="1">
        <f t="array" ref="M210">_xlfn.IFS(L210&lt;=101,"15a101minutos",
AND(L210&gt;101,L210&lt;=188),"102a188minutos",L210&gt;188,"189a274minutos")</f>
        <v>189a274minutos</v>
      </c>
    </row>
    <row r="211" spans="1:13" x14ac:dyDescent="0.25">
      <c r="A211" s="2" t="s">
        <v>209</v>
      </c>
      <c r="B211" s="2" t="s">
        <v>18</v>
      </c>
      <c r="C211" s="2" t="s">
        <v>19</v>
      </c>
      <c r="D211" s="2" t="s">
        <v>20</v>
      </c>
      <c r="E211" s="2" t="s">
        <v>21</v>
      </c>
      <c r="F211" s="2" t="s">
        <v>32</v>
      </c>
      <c r="G211" s="2" t="s">
        <v>33</v>
      </c>
      <c r="H211" t="s">
        <v>393</v>
      </c>
      <c r="I211" t="s">
        <v>394</v>
      </c>
      <c r="J211" t="s">
        <v>395</v>
      </c>
      <c r="K211" t="s">
        <v>396</v>
      </c>
      <c r="L211">
        <v>45.39</v>
      </c>
      <c r="M211" t="str" cm="1">
        <f t="array" ref="M211">_xlfn.IFS(L211&lt;=101,"15a101minutos",
AND(L211&gt;101,L211&lt;=188),"102a188minutos",L211&gt;188,"189a274minutos")</f>
        <v>15a101minutos</v>
      </c>
    </row>
    <row r="212" spans="1:13" x14ac:dyDescent="0.25">
      <c r="A212" s="2" t="s">
        <v>215</v>
      </c>
      <c r="B212" s="2" t="s">
        <v>40</v>
      </c>
      <c r="C212" s="2" t="s">
        <v>41</v>
      </c>
      <c r="D212" s="2" t="s">
        <v>42</v>
      </c>
      <c r="E212" s="2" t="s">
        <v>31</v>
      </c>
      <c r="F212" s="2" t="s">
        <v>32</v>
      </c>
      <c r="G212" s="2" t="s">
        <v>33</v>
      </c>
      <c r="H212" t="s">
        <v>397</v>
      </c>
      <c r="I212" t="s">
        <v>398</v>
      </c>
      <c r="J212" t="s">
        <v>399</v>
      </c>
      <c r="K212" t="s">
        <v>400</v>
      </c>
      <c r="L212">
        <v>153.6</v>
      </c>
      <c r="M212" t="str" cm="1">
        <f t="array" ref="M212">_xlfn.IFS(L212&lt;=101,"15a101minutos",
AND(L212&gt;101,L212&lt;=188),"102a188minutos",L212&gt;188,"189a274minutos")</f>
        <v>102a188minutos</v>
      </c>
    </row>
    <row r="213" spans="1:13" x14ac:dyDescent="0.25">
      <c r="A213" s="2" t="s">
        <v>221</v>
      </c>
      <c r="B213" s="2" t="s">
        <v>40</v>
      </c>
      <c r="C213" s="2" t="s">
        <v>49</v>
      </c>
      <c r="D213" s="2" t="s">
        <v>20</v>
      </c>
      <c r="E213" s="2" t="s">
        <v>31</v>
      </c>
      <c r="F213" s="2" t="s">
        <v>22</v>
      </c>
      <c r="G213" s="2" t="s">
        <v>23</v>
      </c>
      <c r="H213" t="s">
        <v>401</v>
      </c>
      <c r="I213" t="s">
        <v>402</v>
      </c>
      <c r="J213" t="s">
        <v>403</v>
      </c>
      <c r="K213" t="s">
        <v>404</v>
      </c>
      <c r="L213">
        <v>19.97</v>
      </c>
      <c r="M213" t="str" cm="1">
        <f t="array" ref="M213">_xlfn.IFS(L213&lt;=101,"15a101minutos",
AND(L213&gt;101,L213&lt;=188),"102a188minutos",L213&gt;188,"189a274minutos")</f>
        <v>15a101minutos</v>
      </c>
    </row>
    <row r="214" spans="1:13" x14ac:dyDescent="0.25">
      <c r="A214" s="2" t="s">
        <v>227</v>
      </c>
      <c r="B214" s="2" t="s">
        <v>40</v>
      </c>
      <c r="C214" s="2" t="s">
        <v>76</v>
      </c>
      <c r="D214" s="2" t="s">
        <v>20</v>
      </c>
      <c r="E214" s="2" t="s">
        <v>21</v>
      </c>
      <c r="F214" s="2" t="s">
        <v>32</v>
      </c>
      <c r="G214" s="2" t="s">
        <v>33</v>
      </c>
      <c r="H214" t="s">
        <v>405</v>
      </c>
      <c r="I214" t="s">
        <v>406</v>
      </c>
      <c r="J214" t="s">
        <v>407</v>
      </c>
      <c r="K214" t="s">
        <v>408</v>
      </c>
      <c r="L214">
        <v>273.7</v>
      </c>
      <c r="M214" t="str" cm="1">
        <f t="array" ref="M214">_xlfn.IFS(L214&lt;=101,"15a101minutos",
AND(L214&gt;101,L214&lt;=188),"102a188minutos",L214&gt;188,"189a274minutos")</f>
        <v>189a274minutos</v>
      </c>
    </row>
    <row r="215" spans="1:13" x14ac:dyDescent="0.25">
      <c r="A215" s="2" t="s">
        <v>233</v>
      </c>
      <c r="B215" s="2" t="s">
        <v>40</v>
      </c>
      <c r="C215" s="2" t="s">
        <v>41</v>
      </c>
      <c r="D215" s="2" t="s">
        <v>20</v>
      </c>
      <c r="E215" s="2" t="s">
        <v>21</v>
      </c>
      <c r="F215" s="2" t="s">
        <v>22</v>
      </c>
      <c r="G215" s="2" t="s">
        <v>23</v>
      </c>
      <c r="H215" t="s">
        <v>409</v>
      </c>
      <c r="I215" t="s">
        <v>410</v>
      </c>
      <c r="J215" t="s">
        <v>411</v>
      </c>
      <c r="K215" t="s">
        <v>412</v>
      </c>
      <c r="L215">
        <v>85.05</v>
      </c>
      <c r="M215" t="str" cm="1">
        <f t="array" ref="M215">_xlfn.IFS(L215&lt;=101,"15a101minutos",
AND(L215&gt;101,L215&lt;=188),"102a188minutos",L215&gt;188,"189a274minutos")</f>
        <v>15a101minutos</v>
      </c>
    </row>
    <row r="216" spans="1:13" x14ac:dyDescent="0.25">
      <c r="A216" s="2" t="s">
        <v>239</v>
      </c>
      <c r="B216" s="2" t="s">
        <v>40</v>
      </c>
      <c r="C216" s="2" t="s">
        <v>49</v>
      </c>
      <c r="D216" s="2" t="s">
        <v>20</v>
      </c>
      <c r="E216" s="2" t="s">
        <v>21</v>
      </c>
      <c r="F216" s="2" t="s">
        <v>32</v>
      </c>
      <c r="G216" s="2" t="s">
        <v>23</v>
      </c>
      <c r="H216" t="s">
        <v>413</v>
      </c>
      <c r="I216" t="s">
        <v>414</v>
      </c>
      <c r="J216" t="s">
        <v>415</v>
      </c>
      <c r="K216" t="s">
        <v>416</v>
      </c>
      <c r="L216">
        <v>202.13</v>
      </c>
      <c r="M216" t="str" cm="1">
        <f t="array" ref="M216">_xlfn.IFS(L216&lt;=101,"15a101minutos",
AND(L216&gt;101,L216&lt;=188),"102a188minutos",L216&gt;188,"189a274minutos")</f>
        <v>189a274minutos</v>
      </c>
    </row>
    <row r="217" spans="1:13" x14ac:dyDescent="0.25">
      <c r="A217" s="2" t="s">
        <v>245</v>
      </c>
      <c r="B217" s="2" t="s">
        <v>40</v>
      </c>
      <c r="C217" s="2" t="s">
        <v>41</v>
      </c>
      <c r="D217" s="2" t="s">
        <v>30</v>
      </c>
      <c r="E217" s="2" t="s">
        <v>31</v>
      </c>
      <c r="F217" s="2" t="s">
        <v>22</v>
      </c>
      <c r="G217" s="2" t="s">
        <v>33</v>
      </c>
      <c r="H217" t="s">
        <v>417</v>
      </c>
      <c r="I217" t="s">
        <v>418</v>
      </c>
      <c r="J217" t="s">
        <v>419</v>
      </c>
      <c r="K217" t="s">
        <v>420</v>
      </c>
      <c r="L217">
        <v>100.4</v>
      </c>
      <c r="M217" t="str" cm="1">
        <f t="array" ref="M217">_xlfn.IFS(L217&lt;=101,"15a101minutos",
AND(L217&gt;101,L217&lt;=188),"102a188minutos",L217&gt;188,"189a274minutos")</f>
        <v>15a101minutos</v>
      </c>
    </row>
    <row r="218" spans="1:13" x14ac:dyDescent="0.25">
      <c r="A218" s="2" t="s">
        <v>251</v>
      </c>
      <c r="B218" s="2" t="s">
        <v>18</v>
      </c>
      <c r="C218" s="2" t="s">
        <v>49</v>
      </c>
      <c r="D218" s="2" t="s">
        <v>20</v>
      </c>
      <c r="E218" s="2" t="s">
        <v>21</v>
      </c>
      <c r="F218" s="2" t="s">
        <v>32</v>
      </c>
      <c r="G218" s="2" t="s">
        <v>33</v>
      </c>
      <c r="H218" t="s">
        <v>421</v>
      </c>
      <c r="I218" t="s">
        <v>422</v>
      </c>
      <c r="J218" t="s">
        <v>423</v>
      </c>
      <c r="K218" t="s">
        <v>424</v>
      </c>
      <c r="L218">
        <v>160.82</v>
      </c>
      <c r="M218" t="str" cm="1">
        <f t="array" ref="M218">_xlfn.IFS(L218&lt;=101,"15a101minutos",
AND(L218&gt;101,L218&lt;=188),"102a188minutos",L218&gt;188,"189a274minutos")</f>
        <v>102a188minutos</v>
      </c>
    </row>
    <row r="219" spans="1:13" x14ac:dyDescent="0.25">
      <c r="A219" s="2" t="s">
        <v>257</v>
      </c>
      <c r="B219" s="2" t="s">
        <v>18</v>
      </c>
      <c r="C219" s="2" t="s">
        <v>76</v>
      </c>
      <c r="D219" s="2" t="s">
        <v>20</v>
      </c>
      <c r="E219" s="2" t="s">
        <v>21</v>
      </c>
      <c r="F219" s="2" t="s">
        <v>32</v>
      </c>
      <c r="G219" s="2" t="s">
        <v>23</v>
      </c>
      <c r="H219" t="s">
        <v>425</v>
      </c>
      <c r="I219" t="s">
        <v>426</v>
      </c>
      <c r="J219" t="s">
        <v>427</v>
      </c>
      <c r="K219" t="s">
        <v>428</v>
      </c>
      <c r="L219">
        <v>168.55</v>
      </c>
      <c r="M219" t="str" cm="1">
        <f t="array" ref="M219">_xlfn.IFS(L219&lt;=101,"15a101minutos",
AND(L219&gt;101,L219&lt;=188),"102a188minutos",L219&gt;188,"189a274minutos")</f>
        <v>102a188minutos</v>
      </c>
    </row>
    <row r="220" spans="1:13" x14ac:dyDescent="0.25">
      <c r="A220" s="2" t="s">
        <v>263</v>
      </c>
      <c r="B220" s="2" t="s">
        <v>40</v>
      </c>
      <c r="C220" s="2" t="s">
        <v>19</v>
      </c>
      <c r="D220" s="2" t="s">
        <v>20</v>
      </c>
      <c r="E220" s="2" t="s">
        <v>31</v>
      </c>
      <c r="F220" s="2" t="s">
        <v>22</v>
      </c>
      <c r="G220" s="2" t="s">
        <v>23</v>
      </c>
      <c r="H220" t="s">
        <v>429</v>
      </c>
      <c r="I220" t="s">
        <v>430</v>
      </c>
      <c r="J220" t="s">
        <v>431</v>
      </c>
      <c r="K220" t="s">
        <v>432</v>
      </c>
      <c r="L220">
        <v>63.61</v>
      </c>
      <c r="M220" t="str" cm="1">
        <f t="array" ref="M220">_xlfn.IFS(L220&lt;=101,"15a101minutos",
AND(L220&gt;101,L220&lt;=188),"102a188minutos",L220&gt;188,"189a274minutos")</f>
        <v>15a101minutos</v>
      </c>
    </row>
    <row r="221" spans="1:13" x14ac:dyDescent="0.25">
      <c r="A221" s="2" t="s">
        <v>102</v>
      </c>
      <c r="B221" s="2" t="s">
        <v>18</v>
      </c>
      <c r="C221" s="2" t="s">
        <v>76</v>
      </c>
      <c r="D221" s="2" t="s">
        <v>30</v>
      </c>
      <c r="E221" s="2" t="s">
        <v>21</v>
      </c>
      <c r="F221" s="2" t="s">
        <v>32</v>
      </c>
      <c r="G221" s="2" t="s">
        <v>33</v>
      </c>
      <c r="H221" t="s">
        <v>316</v>
      </c>
      <c r="I221" t="s">
        <v>317</v>
      </c>
      <c r="J221" t="s">
        <v>318</v>
      </c>
      <c r="K221" t="s">
        <v>319</v>
      </c>
      <c r="L221">
        <v>19.670000000000002</v>
      </c>
      <c r="M221" t="str" cm="1">
        <f t="array" ref="M221">_xlfn.IFS(L221&lt;=101,"15a101minutos",
AND(L221&gt;101,L221&lt;=188),"102a188minutos",L221&gt;188,"189a274minutos")</f>
        <v>15a101minutos</v>
      </c>
    </row>
    <row r="222" spans="1:13" x14ac:dyDescent="0.25">
      <c r="A222" s="2" t="s">
        <v>108</v>
      </c>
      <c r="B222" s="2" t="s">
        <v>63</v>
      </c>
      <c r="C222" s="2" t="s">
        <v>49</v>
      </c>
      <c r="D222" s="2" t="s">
        <v>20</v>
      </c>
      <c r="E222" s="2" t="s">
        <v>21</v>
      </c>
      <c r="F222" s="2" t="s">
        <v>32</v>
      </c>
      <c r="G222" s="2" t="s">
        <v>33</v>
      </c>
      <c r="H222" t="s">
        <v>320</v>
      </c>
      <c r="I222" t="s">
        <v>321</v>
      </c>
      <c r="J222" t="s">
        <v>322</v>
      </c>
      <c r="K222" t="s">
        <v>323</v>
      </c>
      <c r="L222">
        <v>142.03</v>
      </c>
      <c r="M222" t="str" cm="1">
        <f t="array" ref="M222">_xlfn.IFS(L222&lt;=101,"15a101minutos",
AND(L222&gt;101,L222&lt;=188),"102a188minutos",L222&gt;188,"189a274minutos")</f>
        <v>102a188minutos</v>
      </c>
    </row>
    <row r="223" spans="1:13" x14ac:dyDescent="0.25">
      <c r="A223" s="2" t="s">
        <v>114</v>
      </c>
      <c r="B223" s="2" t="s">
        <v>63</v>
      </c>
      <c r="C223" s="2" t="s">
        <v>41</v>
      </c>
      <c r="D223" s="2" t="s">
        <v>20</v>
      </c>
      <c r="E223" s="2" t="s">
        <v>31</v>
      </c>
      <c r="F223" s="2" t="s">
        <v>32</v>
      </c>
      <c r="G223" s="2" t="s">
        <v>33</v>
      </c>
      <c r="H223" t="s">
        <v>324</v>
      </c>
      <c r="I223" t="s">
        <v>325</v>
      </c>
      <c r="J223" t="s">
        <v>326</v>
      </c>
      <c r="K223" t="s">
        <v>327</v>
      </c>
      <c r="L223">
        <v>37.53</v>
      </c>
      <c r="M223" t="str" cm="1">
        <f t="array" ref="M223">_xlfn.IFS(L223&lt;=101,"15a101minutos",
AND(L223&gt;101,L223&lt;=188),"102a188minutos",L223&gt;188,"189a274minutos")</f>
        <v>15a101minutos</v>
      </c>
    </row>
    <row r="224" spans="1:13" x14ac:dyDescent="0.25">
      <c r="A224" s="2" t="s">
        <v>120</v>
      </c>
      <c r="B224" s="2" t="s">
        <v>40</v>
      </c>
      <c r="C224" s="2" t="s">
        <v>76</v>
      </c>
      <c r="D224" s="2" t="s">
        <v>42</v>
      </c>
      <c r="E224" s="2" t="s">
        <v>50</v>
      </c>
      <c r="F224" s="2" t="s">
        <v>32</v>
      </c>
      <c r="G224" s="2" t="s">
        <v>33</v>
      </c>
      <c r="H224" t="s">
        <v>328</v>
      </c>
      <c r="I224" t="s">
        <v>329</v>
      </c>
      <c r="J224" t="s">
        <v>330</v>
      </c>
      <c r="K224" t="s">
        <v>331</v>
      </c>
      <c r="L224">
        <v>126.44</v>
      </c>
      <c r="M224" t="str" cm="1">
        <f t="array" ref="M224">_xlfn.IFS(L224&lt;=101,"15a101minutos",
AND(L224&gt;101,L224&lt;=188),"102a188minutos",L224&gt;188,"189a274minutos")</f>
        <v>102a188minutos</v>
      </c>
    </row>
    <row r="225" spans="1:13" x14ac:dyDescent="0.25">
      <c r="A225" s="2" t="s">
        <v>126</v>
      </c>
      <c r="B225" s="2" t="s">
        <v>63</v>
      </c>
      <c r="C225" s="2" t="s">
        <v>41</v>
      </c>
      <c r="D225" s="2" t="s">
        <v>20</v>
      </c>
      <c r="E225" s="2" t="s">
        <v>21</v>
      </c>
      <c r="F225" s="2" t="s">
        <v>22</v>
      </c>
      <c r="G225" s="2" t="s">
        <v>23</v>
      </c>
      <c r="H225" t="s">
        <v>332</v>
      </c>
      <c r="I225" t="s">
        <v>333</v>
      </c>
      <c r="J225" t="s">
        <v>334</v>
      </c>
      <c r="K225" t="s">
        <v>335</v>
      </c>
      <c r="L225">
        <v>131.78</v>
      </c>
      <c r="M225" t="str" cm="1">
        <f t="array" ref="M225">_xlfn.IFS(L225&lt;=101,"15a101minutos",
AND(L225&gt;101,L225&lt;=188),"102a188minutos",L225&gt;188,"189a274minutos")</f>
        <v>102a188minutos</v>
      </c>
    </row>
    <row r="226" spans="1:13" x14ac:dyDescent="0.25">
      <c r="A226" s="2" t="s">
        <v>132</v>
      </c>
      <c r="B226" s="2" t="s">
        <v>40</v>
      </c>
      <c r="C226" s="2" t="s">
        <v>49</v>
      </c>
      <c r="D226" s="2" t="s">
        <v>20</v>
      </c>
      <c r="E226" s="2" t="s">
        <v>31</v>
      </c>
      <c r="F226" s="2" t="s">
        <v>22</v>
      </c>
      <c r="G226" s="2" t="s">
        <v>23</v>
      </c>
      <c r="H226" t="s">
        <v>336</v>
      </c>
      <c r="I226" t="s">
        <v>337</v>
      </c>
      <c r="J226" t="s">
        <v>338</v>
      </c>
      <c r="K226" t="s">
        <v>339</v>
      </c>
      <c r="L226">
        <v>101.25</v>
      </c>
      <c r="M226" t="str" cm="1">
        <f t="array" ref="M226">_xlfn.IFS(L226&lt;=101,"15a101minutos",
AND(L226&gt;101,L226&lt;=188),"102a188minutos",L226&gt;188,"189a274minutos")</f>
        <v>102a188minutos</v>
      </c>
    </row>
    <row r="227" spans="1:13" x14ac:dyDescent="0.25">
      <c r="A227" s="2" t="s">
        <v>138</v>
      </c>
      <c r="B227" s="2" t="s">
        <v>63</v>
      </c>
      <c r="C227" s="2" t="s">
        <v>19</v>
      </c>
      <c r="D227" s="2" t="s">
        <v>20</v>
      </c>
      <c r="E227" s="2" t="s">
        <v>50</v>
      </c>
      <c r="F227" s="2" t="s">
        <v>22</v>
      </c>
      <c r="G227" s="2" t="s">
        <v>23</v>
      </c>
      <c r="H227" t="s">
        <v>340</v>
      </c>
      <c r="I227" t="s">
        <v>341</v>
      </c>
      <c r="J227" t="s">
        <v>342</v>
      </c>
      <c r="K227" t="s">
        <v>343</v>
      </c>
      <c r="L227">
        <v>194.22</v>
      </c>
      <c r="M227" t="str" cm="1">
        <f t="array" ref="M227">_xlfn.IFS(L227&lt;=101,"15a101minutos",
AND(L227&gt;101,L227&lt;=188),"102a188minutos",L227&gt;188,"189a274minutos")</f>
        <v>189a274minutos</v>
      </c>
    </row>
    <row r="228" spans="1:13" x14ac:dyDescent="0.25">
      <c r="A228" s="2" t="s">
        <v>144</v>
      </c>
      <c r="B228" s="2" t="s">
        <v>18</v>
      </c>
      <c r="C228" s="2" t="s">
        <v>76</v>
      </c>
      <c r="D228" s="2" t="s">
        <v>30</v>
      </c>
      <c r="E228" s="2" t="s">
        <v>21</v>
      </c>
      <c r="F228" s="2" t="s">
        <v>22</v>
      </c>
      <c r="G228" s="2" t="s">
        <v>23</v>
      </c>
      <c r="H228" t="s">
        <v>344</v>
      </c>
      <c r="I228" t="s">
        <v>345</v>
      </c>
      <c r="J228" t="s">
        <v>346</v>
      </c>
      <c r="K228" t="s">
        <v>347</v>
      </c>
      <c r="L228">
        <v>79.47</v>
      </c>
      <c r="M228" t="str" cm="1">
        <f t="array" ref="M228">_xlfn.IFS(L228&lt;=101,"15a101minutos",
AND(L228&gt;101,L228&lt;=188),"102a188minutos",L228&gt;188,"189a274minutos")</f>
        <v>15a101minutos</v>
      </c>
    </row>
    <row r="229" spans="1:13" x14ac:dyDescent="0.25">
      <c r="A229" s="2" t="s">
        <v>209</v>
      </c>
      <c r="B229" s="2" t="s">
        <v>18</v>
      </c>
      <c r="C229" s="2" t="s">
        <v>19</v>
      </c>
      <c r="D229" s="2" t="s">
        <v>20</v>
      </c>
      <c r="E229" s="2" t="s">
        <v>21</v>
      </c>
      <c r="F229" s="2" t="s">
        <v>32</v>
      </c>
      <c r="G229" s="2" t="s">
        <v>33</v>
      </c>
      <c r="H229" t="s">
        <v>393</v>
      </c>
      <c r="I229" t="s">
        <v>394</v>
      </c>
      <c r="J229" t="s">
        <v>395</v>
      </c>
      <c r="K229" t="s">
        <v>396</v>
      </c>
      <c r="L229">
        <v>45.39</v>
      </c>
      <c r="M229" t="str" cm="1">
        <f t="array" ref="M229">_xlfn.IFS(L229&lt;=101,"15a101minutos",
AND(L229&gt;101,L229&lt;=188),"102a188minutos",L229&gt;188,"189a274minutos")</f>
        <v>15a101minutos</v>
      </c>
    </row>
    <row r="230" spans="1:13" x14ac:dyDescent="0.25">
      <c r="A230" s="2" t="s">
        <v>215</v>
      </c>
      <c r="B230" s="2" t="s">
        <v>40</v>
      </c>
      <c r="C230" s="2" t="s">
        <v>41</v>
      </c>
      <c r="D230" s="2" t="s">
        <v>42</v>
      </c>
      <c r="E230" s="2" t="s">
        <v>31</v>
      </c>
      <c r="F230" s="2" t="s">
        <v>32</v>
      </c>
      <c r="G230" s="2" t="s">
        <v>33</v>
      </c>
      <c r="H230" t="s">
        <v>397</v>
      </c>
      <c r="I230" t="s">
        <v>398</v>
      </c>
      <c r="J230" t="s">
        <v>399</v>
      </c>
      <c r="K230" t="s">
        <v>400</v>
      </c>
      <c r="L230">
        <v>153.6</v>
      </c>
      <c r="M230" t="str" cm="1">
        <f t="array" ref="M230">_xlfn.IFS(L230&lt;=101,"15a101minutos",
AND(L230&gt;101,L230&lt;=188),"102a188minutos",L230&gt;188,"189a274minutos")</f>
        <v>102a188minutos</v>
      </c>
    </row>
    <row r="231" spans="1:13" x14ac:dyDescent="0.25">
      <c r="A231" s="2" t="s">
        <v>221</v>
      </c>
      <c r="B231" s="2" t="s">
        <v>40</v>
      </c>
      <c r="C231" s="2" t="s">
        <v>49</v>
      </c>
      <c r="D231" s="2" t="s">
        <v>20</v>
      </c>
      <c r="E231" s="2" t="s">
        <v>31</v>
      </c>
      <c r="F231" s="2" t="s">
        <v>22</v>
      </c>
      <c r="G231" s="2" t="s">
        <v>23</v>
      </c>
      <c r="H231" t="s">
        <v>401</v>
      </c>
      <c r="I231" t="s">
        <v>402</v>
      </c>
      <c r="J231" t="s">
        <v>403</v>
      </c>
      <c r="K231" t="s">
        <v>404</v>
      </c>
      <c r="L231">
        <v>19.97</v>
      </c>
      <c r="M231" t="str" cm="1">
        <f t="array" ref="M231">_xlfn.IFS(L231&lt;=101,"15a101minutos",
AND(L231&gt;101,L231&lt;=188),"102a188minutos",L231&gt;188,"189a274minutos")</f>
        <v>15a101minutos</v>
      </c>
    </row>
    <row r="232" spans="1:13" x14ac:dyDescent="0.25">
      <c r="A232" s="2" t="s">
        <v>227</v>
      </c>
      <c r="B232" s="2" t="s">
        <v>40</v>
      </c>
      <c r="C232" s="2" t="s">
        <v>76</v>
      </c>
      <c r="D232" s="2" t="s">
        <v>20</v>
      </c>
      <c r="E232" s="2" t="s">
        <v>21</v>
      </c>
      <c r="F232" s="2" t="s">
        <v>32</v>
      </c>
      <c r="G232" s="2" t="s">
        <v>33</v>
      </c>
      <c r="H232" t="s">
        <v>405</v>
      </c>
      <c r="I232" t="s">
        <v>406</v>
      </c>
      <c r="J232" t="s">
        <v>407</v>
      </c>
      <c r="K232" t="s">
        <v>408</v>
      </c>
      <c r="L232">
        <v>273.7</v>
      </c>
      <c r="M232" t="str" cm="1">
        <f t="array" ref="M232">_xlfn.IFS(L232&lt;=101,"15a101minutos",
AND(L232&gt;101,L232&lt;=188),"102a188minutos",L232&gt;188,"189a274minutos")</f>
        <v>189a274minutos</v>
      </c>
    </row>
    <row r="233" spans="1:13" x14ac:dyDescent="0.25">
      <c r="A233" s="2" t="s">
        <v>233</v>
      </c>
      <c r="B233" s="2" t="s">
        <v>40</v>
      </c>
      <c r="C233" s="2" t="s">
        <v>41</v>
      </c>
      <c r="D233" s="2" t="s">
        <v>20</v>
      </c>
      <c r="E233" s="2" t="s">
        <v>21</v>
      </c>
      <c r="F233" s="2" t="s">
        <v>22</v>
      </c>
      <c r="G233" s="2" t="s">
        <v>23</v>
      </c>
      <c r="H233" t="s">
        <v>409</v>
      </c>
      <c r="I233" t="s">
        <v>410</v>
      </c>
      <c r="J233" t="s">
        <v>411</v>
      </c>
      <c r="K233" t="s">
        <v>412</v>
      </c>
      <c r="L233">
        <v>85.05</v>
      </c>
      <c r="M233" t="str" cm="1">
        <f t="array" ref="M233">_xlfn.IFS(L233&lt;=101,"15a101minutos",
AND(L233&gt;101,L233&lt;=188),"102a188minutos",L233&gt;188,"189a274minutos")</f>
        <v>15a101minutos</v>
      </c>
    </row>
    <row r="234" spans="1:13" x14ac:dyDescent="0.25">
      <c r="A234" s="2" t="s">
        <v>239</v>
      </c>
      <c r="B234" s="2" t="s">
        <v>40</v>
      </c>
      <c r="C234" s="2" t="s">
        <v>49</v>
      </c>
      <c r="D234" s="2" t="s">
        <v>20</v>
      </c>
      <c r="E234" s="2" t="s">
        <v>21</v>
      </c>
      <c r="F234" s="2" t="s">
        <v>32</v>
      </c>
      <c r="G234" s="2" t="s">
        <v>23</v>
      </c>
      <c r="H234" t="s">
        <v>413</v>
      </c>
      <c r="I234" t="s">
        <v>414</v>
      </c>
      <c r="J234" t="s">
        <v>415</v>
      </c>
      <c r="K234" t="s">
        <v>416</v>
      </c>
      <c r="L234">
        <v>202.13</v>
      </c>
      <c r="M234" t="str" cm="1">
        <f t="array" ref="M234">_xlfn.IFS(L234&lt;=101,"15a101minutos",
AND(L234&gt;101,L234&lt;=188),"102a188minutos",L234&gt;188,"189a274minutos")</f>
        <v>189a274minutos</v>
      </c>
    </row>
    <row r="235" spans="1:13" x14ac:dyDescent="0.25">
      <c r="A235" s="2" t="s">
        <v>245</v>
      </c>
      <c r="B235" s="2" t="s">
        <v>40</v>
      </c>
      <c r="C235" s="2" t="s">
        <v>41</v>
      </c>
      <c r="D235" s="2" t="s">
        <v>30</v>
      </c>
      <c r="E235" s="2" t="s">
        <v>31</v>
      </c>
      <c r="F235" s="2" t="s">
        <v>22</v>
      </c>
      <c r="G235" s="2" t="s">
        <v>33</v>
      </c>
      <c r="H235" t="s">
        <v>417</v>
      </c>
      <c r="I235" t="s">
        <v>418</v>
      </c>
      <c r="J235" t="s">
        <v>419</v>
      </c>
      <c r="K235" t="s">
        <v>420</v>
      </c>
      <c r="L235">
        <v>100.4</v>
      </c>
      <c r="M235" t="str" cm="1">
        <f t="array" ref="M235">_xlfn.IFS(L235&lt;=101,"15a101minutos",
AND(L235&gt;101,L235&lt;=188),"102a188minutos",L235&gt;188,"189a274minutos")</f>
        <v>15a101minutos</v>
      </c>
    </row>
    <row r="236" spans="1:13" x14ac:dyDescent="0.25">
      <c r="A236" s="2" t="s">
        <v>251</v>
      </c>
      <c r="B236" s="2" t="s">
        <v>18</v>
      </c>
      <c r="C236" s="2" t="s">
        <v>49</v>
      </c>
      <c r="D236" s="2" t="s">
        <v>20</v>
      </c>
      <c r="E236" s="2" t="s">
        <v>21</v>
      </c>
      <c r="F236" s="2" t="s">
        <v>32</v>
      </c>
      <c r="G236" s="2" t="s">
        <v>33</v>
      </c>
      <c r="H236" t="s">
        <v>421</v>
      </c>
      <c r="I236" t="s">
        <v>422</v>
      </c>
      <c r="J236" t="s">
        <v>423</v>
      </c>
      <c r="K236" t="s">
        <v>424</v>
      </c>
      <c r="L236">
        <v>160.82</v>
      </c>
      <c r="M236" t="str" cm="1">
        <f t="array" ref="M236">_xlfn.IFS(L236&lt;=101,"15a101minutos",
AND(L236&gt;101,L236&lt;=188),"102a188minutos",L236&gt;188,"189a274minutos")</f>
        <v>102a188minutos</v>
      </c>
    </row>
    <row r="237" spans="1:13" x14ac:dyDescent="0.25">
      <c r="A237" s="2" t="s">
        <v>257</v>
      </c>
      <c r="B237" s="2" t="s">
        <v>18</v>
      </c>
      <c r="C237" s="2" t="s">
        <v>76</v>
      </c>
      <c r="D237" s="2" t="s">
        <v>20</v>
      </c>
      <c r="E237" s="2" t="s">
        <v>21</v>
      </c>
      <c r="F237" s="2" t="s">
        <v>32</v>
      </c>
      <c r="G237" s="2" t="s">
        <v>23</v>
      </c>
      <c r="H237" t="s">
        <v>425</v>
      </c>
      <c r="I237" t="s">
        <v>426</v>
      </c>
      <c r="J237" t="s">
        <v>427</v>
      </c>
      <c r="K237" t="s">
        <v>428</v>
      </c>
      <c r="L237">
        <v>168.55</v>
      </c>
      <c r="M237" t="str" cm="1">
        <f t="array" ref="M237">_xlfn.IFS(L237&lt;=101,"15a101minutos",
AND(L237&gt;101,L237&lt;=188),"102a188minutos",L237&gt;188,"189a274minutos")</f>
        <v>102a188minutos</v>
      </c>
    </row>
    <row r="238" spans="1:13" x14ac:dyDescent="0.25">
      <c r="A238" s="2" t="s">
        <v>263</v>
      </c>
      <c r="B238" s="2" t="s">
        <v>40</v>
      </c>
      <c r="C238" s="2" t="s">
        <v>19</v>
      </c>
      <c r="D238" s="2" t="s">
        <v>20</v>
      </c>
      <c r="E238" s="2" t="s">
        <v>31</v>
      </c>
      <c r="F238" s="2" t="s">
        <v>22</v>
      </c>
      <c r="G238" s="2" t="s">
        <v>23</v>
      </c>
      <c r="H238" t="s">
        <v>429</v>
      </c>
      <c r="I238" t="s">
        <v>430</v>
      </c>
      <c r="J238" t="s">
        <v>431</v>
      </c>
      <c r="K238" t="s">
        <v>432</v>
      </c>
      <c r="L238">
        <v>63.61</v>
      </c>
      <c r="M238" t="str" cm="1">
        <f t="array" ref="M238">_xlfn.IFS(L238&lt;=101,"15a101minutos",
AND(L238&gt;101,L238&lt;=188),"102a188minutos",L238&gt;188,"189a274minutos")</f>
        <v>15a101minutos</v>
      </c>
    </row>
    <row r="239" spans="1:13" x14ac:dyDescent="0.25">
      <c r="A239" s="2" t="s">
        <v>108</v>
      </c>
      <c r="B239" s="2" t="s">
        <v>63</v>
      </c>
      <c r="C239" s="2" t="s">
        <v>49</v>
      </c>
      <c r="D239" s="2" t="s">
        <v>20</v>
      </c>
      <c r="E239" s="2" t="s">
        <v>21</v>
      </c>
      <c r="F239" s="2" t="s">
        <v>32</v>
      </c>
      <c r="G239" s="2" t="s">
        <v>33</v>
      </c>
      <c r="H239" t="s">
        <v>320</v>
      </c>
      <c r="I239" t="s">
        <v>321</v>
      </c>
      <c r="J239" t="s">
        <v>322</v>
      </c>
      <c r="K239" t="s">
        <v>323</v>
      </c>
      <c r="L239">
        <v>142.03</v>
      </c>
      <c r="M239" t="str" cm="1">
        <f t="array" ref="M239">_xlfn.IFS(L239&lt;=101,"15a101minutos",
AND(L239&gt;101,L239&lt;=188),"102a188minutos",L239&gt;188,"189a274minutos")</f>
        <v>102a188minutos</v>
      </c>
    </row>
    <row r="240" spans="1:13" x14ac:dyDescent="0.25">
      <c r="A240" s="2" t="s">
        <v>114</v>
      </c>
      <c r="B240" s="2" t="s">
        <v>63</v>
      </c>
      <c r="C240" s="2" t="s">
        <v>41</v>
      </c>
      <c r="D240" s="2" t="s">
        <v>20</v>
      </c>
      <c r="E240" s="2" t="s">
        <v>31</v>
      </c>
      <c r="F240" s="2" t="s">
        <v>32</v>
      </c>
      <c r="G240" s="2" t="s">
        <v>33</v>
      </c>
      <c r="H240" t="s">
        <v>324</v>
      </c>
      <c r="I240" t="s">
        <v>325</v>
      </c>
      <c r="J240" t="s">
        <v>326</v>
      </c>
      <c r="K240" t="s">
        <v>327</v>
      </c>
      <c r="L240">
        <v>37.53</v>
      </c>
      <c r="M240" t="str" cm="1">
        <f t="array" ref="M240">_xlfn.IFS(L240&lt;=101,"15a101minutos",
AND(L240&gt;101,L240&lt;=188),"102a188minutos",L240&gt;188,"189a274minutos")</f>
        <v>15a101minutos</v>
      </c>
    </row>
    <row r="241" spans="1:13" x14ac:dyDescent="0.25">
      <c r="A241" s="2" t="s">
        <v>209</v>
      </c>
      <c r="B241" s="2" t="s">
        <v>18</v>
      </c>
      <c r="C241" s="2" t="s">
        <v>19</v>
      </c>
      <c r="D241" s="2" t="s">
        <v>20</v>
      </c>
      <c r="E241" s="2" t="s">
        <v>21</v>
      </c>
      <c r="F241" s="2" t="s">
        <v>32</v>
      </c>
      <c r="G241" s="2" t="s">
        <v>33</v>
      </c>
      <c r="H241" t="s">
        <v>393</v>
      </c>
      <c r="I241" t="s">
        <v>394</v>
      </c>
      <c r="J241" t="s">
        <v>395</v>
      </c>
      <c r="K241" t="s">
        <v>396</v>
      </c>
      <c r="L241">
        <v>45.39</v>
      </c>
      <c r="M241" t="str" cm="1">
        <f t="array" ref="M241">_xlfn.IFS(L241&lt;=101,"15a101minutos",
AND(L241&gt;101,L241&lt;=188),"102a188minutos",L241&gt;188,"189a274minutos")</f>
        <v>15a101minutos</v>
      </c>
    </row>
    <row r="242" spans="1:13" x14ac:dyDescent="0.25">
      <c r="A242" s="2" t="s">
        <v>215</v>
      </c>
      <c r="B242" s="2" t="s">
        <v>40</v>
      </c>
      <c r="C242" s="2" t="s">
        <v>41</v>
      </c>
      <c r="D242" s="2" t="s">
        <v>42</v>
      </c>
      <c r="E242" s="2" t="s">
        <v>31</v>
      </c>
      <c r="F242" s="2" t="s">
        <v>32</v>
      </c>
      <c r="G242" s="2" t="s">
        <v>33</v>
      </c>
      <c r="H242" t="s">
        <v>397</v>
      </c>
      <c r="I242" t="s">
        <v>398</v>
      </c>
      <c r="J242" t="s">
        <v>399</v>
      </c>
      <c r="K242" t="s">
        <v>400</v>
      </c>
      <c r="L242">
        <v>153.6</v>
      </c>
      <c r="M242" t="str" cm="1">
        <f t="array" ref="M242">_xlfn.IFS(L242&lt;=101,"15a101minutos",
AND(L242&gt;101,L242&lt;=188),"102a188minutos",L242&gt;188,"189a274minutos")</f>
        <v>102a188minutos</v>
      </c>
    </row>
    <row r="243" spans="1:13" x14ac:dyDescent="0.25">
      <c r="A243" s="2" t="s">
        <v>221</v>
      </c>
      <c r="B243" s="2" t="s">
        <v>40</v>
      </c>
      <c r="C243" s="2" t="s">
        <v>49</v>
      </c>
      <c r="D243" s="2" t="s">
        <v>20</v>
      </c>
      <c r="E243" s="2" t="s">
        <v>31</v>
      </c>
      <c r="F243" s="2" t="s">
        <v>22</v>
      </c>
      <c r="G243" s="2" t="s">
        <v>23</v>
      </c>
      <c r="H243" t="s">
        <v>401</v>
      </c>
      <c r="I243" t="s">
        <v>402</v>
      </c>
      <c r="J243" t="s">
        <v>403</v>
      </c>
      <c r="K243" t="s">
        <v>404</v>
      </c>
      <c r="L243">
        <v>19.97</v>
      </c>
      <c r="M243" t="str" cm="1">
        <f t="array" ref="M243">_xlfn.IFS(L243&lt;=101,"15a101minutos",
AND(L243&gt;101,L243&lt;=188),"102a188minutos",L243&gt;188,"189a274minutos")</f>
        <v>15a101minutos</v>
      </c>
    </row>
    <row r="244" spans="1:13" x14ac:dyDescent="0.25">
      <c r="A244" s="2" t="s">
        <v>227</v>
      </c>
      <c r="B244" s="2" t="s">
        <v>40</v>
      </c>
      <c r="C244" s="2" t="s">
        <v>76</v>
      </c>
      <c r="D244" s="2" t="s">
        <v>20</v>
      </c>
      <c r="E244" s="2" t="s">
        <v>21</v>
      </c>
      <c r="F244" s="2" t="s">
        <v>32</v>
      </c>
      <c r="G244" s="2" t="s">
        <v>33</v>
      </c>
      <c r="H244" t="s">
        <v>405</v>
      </c>
      <c r="I244" t="s">
        <v>406</v>
      </c>
      <c r="J244" t="s">
        <v>407</v>
      </c>
      <c r="K244" t="s">
        <v>408</v>
      </c>
      <c r="L244">
        <v>273.7</v>
      </c>
      <c r="M244" t="str" cm="1">
        <f t="array" ref="M244">_xlfn.IFS(L244&lt;=101,"15a101minutos",
AND(L244&gt;101,L244&lt;=188),"102a188minutos",L244&gt;188,"189a274minutos")</f>
        <v>189a274minutos</v>
      </c>
    </row>
    <row r="245" spans="1:13" x14ac:dyDescent="0.25">
      <c r="A245" s="2" t="s">
        <v>233</v>
      </c>
      <c r="B245" s="2" t="s">
        <v>40</v>
      </c>
      <c r="C245" s="2" t="s">
        <v>41</v>
      </c>
      <c r="D245" s="2" t="s">
        <v>20</v>
      </c>
      <c r="E245" s="2" t="s">
        <v>21</v>
      </c>
      <c r="F245" s="2" t="s">
        <v>22</v>
      </c>
      <c r="G245" s="2" t="s">
        <v>23</v>
      </c>
      <c r="H245" t="s">
        <v>409</v>
      </c>
      <c r="I245" t="s">
        <v>410</v>
      </c>
      <c r="J245" t="s">
        <v>411</v>
      </c>
      <c r="K245" t="s">
        <v>412</v>
      </c>
      <c r="L245">
        <v>85.05</v>
      </c>
      <c r="M245" t="str" cm="1">
        <f t="array" ref="M245">_xlfn.IFS(L245&lt;=101,"15a101minutos",
AND(L245&gt;101,L245&lt;=188),"102a188minutos",L245&gt;188,"189a274minutos")</f>
        <v>15a101minutos</v>
      </c>
    </row>
    <row r="246" spans="1:13" x14ac:dyDescent="0.25">
      <c r="A246" s="2" t="s">
        <v>239</v>
      </c>
      <c r="B246" s="2" t="s">
        <v>40</v>
      </c>
      <c r="C246" s="2" t="s">
        <v>49</v>
      </c>
      <c r="D246" s="2" t="s">
        <v>20</v>
      </c>
      <c r="E246" s="2" t="s">
        <v>21</v>
      </c>
      <c r="F246" s="2" t="s">
        <v>32</v>
      </c>
      <c r="G246" s="2" t="s">
        <v>23</v>
      </c>
      <c r="H246" t="s">
        <v>413</v>
      </c>
      <c r="I246" t="s">
        <v>414</v>
      </c>
      <c r="J246" t="s">
        <v>415</v>
      </c>
      <c r="K246" t="s">
        <v>416</v>
      </c>
      <c r="L246">
        <v>202.13</v>
      </c>
      <c r="M246" t="str" cm="1">
        <f t="array" ref="M246">_xlfn.IFS(L246&lt;=101,"15a101minutos",
AND(L246&gt;101,L246&lt;=188),"102a188minutos",L246&gt;188,"189a274minutos")</f>
        <v>189a274minutos</v>
      </c>
    </row>
    <row r="247" spans="1:13" x14ac:dyDescent="0.25">
      <c r="A247" s="2" t="s">
        <v>245</v>
      </c>
      <c r="B247" s="2" t="s">
        <v>40</v>
      </c>
      <c r="C247" s="2" t="s">
        <v>41</v>
      </c>
      <c r="D247" s="2" t="s">
        <v>30</v>
      </c>
      <c r="E247" s="2" t="s">
        <v>31</v>
      </c>
      <c r="F247" s="2" t="s">
        <v>22</v>
      </c>
      <c r="G247" s="2" t="s">
        <v>33</v>
      </c>
      <c r="H247" t="s">
        <v>417</v>
      </c>
      <c r="I247" t="s">
        <v>418</v>
      </c>
      <c r="J247" t="s">
        <v>419</v>
      </c>
      <c r="K247" t="s">
        <v>420</v>
      </c>
      <c r="L247">
        <v>100.4</v>
      </c>
      <c r="M247" t="str" cm="1">
        <f t="array" ref="M247">_xlfn.IFS(L247&lt;=101,"15a101minutos",
AND(L247&gt;101,L247&lt;=188),"102a188minutos",L247&gt;188,"189a274minutos")</f>
        <v>15a101minutos</v>
      </c>
    </row>
    <row r="248" spans="1:13" x14ac:dyDescent="0.25">
      <c r="A248" s="2" t="s">
        <v>251</v>
      </c>
      <c r="B248" s="2" t="s">
        <v>18</v>
      </c>
      <c r="C248" s="2" t="s">
        <v>49</v>
      </c>
      <c r="D248" s="2" t="s">
        <v>20</v>
      </c>
      <c r="E248" s="2" t="s">
        <v>21</v>
      </c>
      <c r="F248" s="2" t="s">
        <v>32</v>
      </c>
      <c r="G248" s="2" t="s">
        <v>33</v>
      </c>
      <c r="H248" t="s">
        <v>421</v>
      </c>
      <c r="I248" t="s">
        <v>422</v>
      </c>
      <c r="J248" t="s">
        <v>423</v>
      </c>
      <c r="K248" t="s">
        <v>424</v>
      </c>
      <c r="L248">
        <v>160.82</v>
      </c>
      <c r="M248" t="str" cm="1">
        <f t="array" ref="M248">_xlfn.IFS(L248&lt;=101,"15a101minutos",
AND(L248&gt;101,L248&lt;=188),"102a188minutos",L248&gt;188,"189a274minutos")</f>
        <v>102a188minutos</v>
      </c>
    </row>
    <row r="249" spans="1:13" x14ac:dyDescent="0.25">
      <c r="A249" s="2" t="s">
        <v>257</v>
      </c>
      <c r="B249" s="2" t="s">
        <v>18</v>
      </c>
      <c r="C249" s="2" t="s">
        <v>76</v>
      </c>
      <c r="D249" s="2" t="s">
        <v>20</v>
      </c>
      <c r="E249" s="2" t="s">
        <v>21</v>
      </c>
      <c r="F249" s="2" t="s">
        <v>32</v>
      </c>
      <c r="G249" s="2" t="s">
        <v>23</v>
      </c>
      <c r="H249" t="s">
        <v>425</v>
      </c>
      <c r="I249" t="s">
        <v>426</v>
      </c>
      <c r="J249" t="s">
        <v>427</v>
      </c>
      <c r="K249" t="s">
        <v>428</v>
      </c>
      <c r="L249">
        <v>168.55</v>
      </c>
      <c r="M249" t="str" cm="1">
        <f t="array" ref="M249">_xlfn.IFS(L249&lt;=101,"15a101minutos",
AND(L249&gt;101,L249&lt;=188),"102a188minutos",L249&gt;188,"189a274minutos")</f>
        <v>102a188minutos</v>
      </c>
    </row>
    <row r="250" spans="1:13" x14ac:dyDescent="0.25">
      <c r="A250" s="2" t="s">
        <v>263</v>
      </c>
      <c r="B250" s="2" t="s">
        <v>40</v>
      </c>
      <c r="C250" s="2" t="s">
        <v>19</v>
      </c>
      <c r="D250" s="2" t="s">
        <v>20</v>
      </c>
      <c r="E250" s="2" t="s">
        <v>31</v>
      </c>
      <c r="F250" s="2" t="s">
        <v>22</v>
      </c>
      <c r="G250" s="2" t="s">
        <v>23</v>
      </c>
      <c r="H250" t="s">
        <v>429</v>
      </c>
      <c r="I250" t="s">
        <v>430</v>
      </c>
      <c r="J250" t="s">
        <v>431</v>
      </c>
      <c r="K250" t="s">
        <v>432</v>
      </c>
      <c r="L250">
        <v>63.61</v>
      </c>
      <c r="M250" t="str" cm="1">
        <f t="array" ref="M250">_xlfn.IFS(L250&lt;=101,"15a101minutos",
AND(L250&gt;101,L250&lt;=188),"102a188minutos",L250&gt;188,"189a274minutos")</f>
        <v>15a101minutos</v>
      </c>
    </row>
    <row r="251" spans="1:13" x14ac:dyDescent="0.25">
      <c r="A251" s="2" t="s">
        <v>120</v>
      </c>
      <c r="B251" s="2" t="s">
        <v>40</v>
      </c>
      <c r="C251" s="2" t="s">
        <v>76</v>
      </c>
      <c r="D251" s="2" t="s">
        <v>42</v>
      </c>
      <c r="E251" s="2" t="s">
        <v>50</v>
      </c>
      <c r="F251" s="2" t="s">
        <v>32</v>
      </c>
      <c r="G251" s="2" t="s">
        <v>33</v>
      </c>
      <c r="H251" t="s">
        <v>328</v>
      </c>
      <c r="I251" t="s">
        <v>329</v>
      </c>
      <c r="J251" t="s">
        <v>330</v>
      </c>
      <c r="K251" t="s">
        <v>331</v>
      </c>
      <c r="L251">
        <v>126.44</v>
      </c>
      <c r="M251" t="str" cm="1">
        <f t="array" ref="M251">_xlfn.IFS(L251&lt;=101,"15a101minutos",
AND(L251&gt;101,L251&lt;=188),"102a188minutos",L251&gt;188,"189a274minutos")</f>
        <v>102a188minutos</v>
      </c>
    </row>
    <row r="252" spans="1:13" x14ac:dyDescent="0.25">
      <c r="A252" s="2" t="s">
        <v>126</v>
      </c>
      <c r="B252" s="2" t="s">
        <v>63</v>
      </c>
      <c r="C252" s="2" t="s">
        <v>41</v>
      </c>
      <c r="D252" s="2" t="s">
        <v>20</v>
      </c>
      <c r="E252" s="2" t="s">
        <v>21</v>
      </c>
      <c r="F252" s="2" t="s">
        <v>22</v>
      </c>
      <c r="G252" s="2" t="s">
        <v>23</v>
      </c>
      <c r="H252" t="s">
        <v>332</v>
      </c>
      <c r="I252" t="s">
        <v>333</v>
      </c>
      <c r="J252" t="s">
        <v>334</v>
      </c>
      <c r="K252" t="s">
        <v>335</v>
      </c>
      <c r="L252">
        <v>131.78</v>
      </c>
      <c r="M252" t="str" cm="1">
        <f t="array" ref="M252">_xlfn.IFS(L252&lt;=101,"15a101minutos",
AND(L252&gt;101,L252&lt;=188),"102a188minutos",L252&gt;188,"189a274minutos")</f>
        <v>102a188minutos</v>
      </c>
    </row>
    <row r="253" spans="1:13" x14ac:dyDescent="0.25">
      <c r="A253" s="2" t="s">
        <v>132</v>
      </c>
      <c r="B253" s="2" t="s">
        <v>40</v>
      </c>
      <c r="C253" s="2" t="s">
        <v>49</v>
      </c>
      <c r="D253" s="2" t="s">
        <v>20</v>
      </c>
      <c r="E253" s="2" t="s">
        <v>31</v>
      </c>
      <c r="F253" s="2" t="s">
        <v>22</v>
      </c>
      <c r="G253" s="2" t="s">
        <v>23</v>
      </c>
      <c r="H253" t="s">
        <v>336</v>
      </c>
      <c r="I253" t="s">
        <v>337</v>
      </c>
      <c r="J253" t="s">
        <v>338</v>
      </c>
      <c r="K253" t="s">
        <v>339</v>
      </c>
      <c r="L253">
        <v>101.25</v>
      </c>
      <c r="M253" t="str" cm="1">
        <f t="array" ref="M253">_xlfn.IFS(L253&lt;=101,"15a101minutos",
AND(L253&gt;101,L253&lt;=188),"102a188minutos",L253&gt;188,"189a274minutos")</f>
        <v>102a188minutos</v>
      </c>
    </row>
    <row r="254" spans="1:13" x14ac:dyDescent="0.25">
      <c r="A254" s="2" t="s">
        <v>138</v>
      </c>
      <c r="B254" s="2" t="s">
        <v>63</v>
      </c>
      <c r="C254" s="2" t="s">
        <v>19</v>
      </c>
      <c r="D254" s="2" t="s">
        <v>20</v>
      </c>
      <c r="E254" s="2" t="s">
        <v>50</v>
      </c>
      <c r="F254" s="2" t="s">
        <v>22</v>
      </c>
      <c r="G254" s="2" t="s">
        <v>23</v>
      </c>
      <c r="H254" t="s">
        <v>340</v>
      </c>
      <c r="I254" t="s">
        <v>341</v>
      </c>
      <c r="J254" t="s">
        <v>342</v>
      </c>
      <c r="K254" t="s">
        <v>343</v>
      </c>
      <c r="L254">
        <v>194.22</v>
      </c>
      <c r="M254" t="str" cm="1">
        <f t="array" ref="M254">_xlfn.IFS(L254&lt;=101,"15a101minutos",
AND(L254&gt;101,L254&lt;=188),"102a188minutos",L254&gt;188,"189a274minutos")</f>
        <v>189a274minutos</v>
      </c>
    </row>
    <row r="255" spans="1:13" x14ac:dyDescent="0.25">
      <c r="A255" s="2" t="s">
        <v>144</v>
      </c>
      <c r="B255" s="2" t="s">
        <v>18</v>
      </c>
      <c r="C255" s="2" t="s">
        <v>76</v>
      </c>
      <c r="D255" s="2" t="s">
        <v>30</v>
      </c>
      <c r="E255" s="2" t="s">
        <v>21</v>
      </c>
      <c r="F255" s="2" t="s">
        <v>22</v>
      </c>
      <c r="G255" s="2" t="s">
        <v>23</v>
      </c>
      <c r="H255" t="s">
        <v>344</v>
      </c>
      <c r="I255" t="s">
        <v>345</v>
      </c>
      <c r="J255" t="s">
        <v>346</v>
      </c>
      <c r="K255" t="s">
        <v>347</v>
      </c>
      <c r="L255">
        <v>79.47</v>
      </c>
      <c r="M255" t="str" cm="1">
        <f t="array" ref="M255">_xlfn.IFS(L255&lt;=101,"15a101minutos",
AND(L255&gt;101,L255&lt;=188),"102a188minutos",L255&gt;188,"189a274minutos")</f>
        <v>15a101minutos</v>
      </c>
    </row>
    <row r="256" spans="1:13" x14ac:dyDescent="0.25">
      <c r="A256" s="2" t="s">
        <v>209</v>
      </c>
      <c r="B256" s="2" t="s">
        <v>18</v>
      </c>
      <c r="C256" s="2" t="s">
        <v>19</v>
      </c>
      <c r="D256" s="2" t="s">
        <v>20</v>
      </c>
      <c r="E256" s="2" t="s">
        <v>21</v>
      </c>
      <c r="F256" s="2" t="s">
        <v>32</v>
      </c>
      <c r="G256" s="2" t="s">
        <v>33</v>
      </c>
      <c r="H256" t="s">
        <v>393</v>
      </c>
      <c r="I256" t="s">
        <v>394</v>
      </c>
      <c r="J256" t="s">
        <v>395</v>
      </c>
      <c r="K256" t="s">
        <v>396</v>
      </c>
      <c r="L256">
        <v>45.39</v>
      </c>
      <c r="M256" t="str" cm="1">
        <f t="array" ref="M256">_xlfn.IFS(L256&lt;=101,"15a101minutos",
AND(L256&gt;101,L256&lt;=188),"102a188minutos",L256&gt;188,"189a274minutos")</f>
        <v>15a101minutos</v>
      </c>
    </row>
    <row r="257" spans="1:13" x14ac:dyDescent="0.25">
      <c r="A257" s="2" t="s">
        <v>215</v>
      </c>
      <c r="B257" s="2" t="s">
        <v>40</v>
      </c>
      <c r="C257" s="2" t="s">
        <v>41</v>
      </c>
      <c r="D257" s="2" t="s">
        <v>42</v>
      </c>
      <c r="E257" s="2" t="s">
        <v>31</v>
      </c>
      <c r="F257" s="2" t="s">
        <v>32</v>
      </c>
      <c r="G257" s="2" t="s">
        <v>33</v>
      </c>
      <c r="H257" t="s">
        <v>397</v>
      </c>
      <c r="I257" t="s">
        <v>398</v>
      </c>
      <c r="J257" t="s">
        <v>399</v>
      </c>
      <c r="K257" t="s">
        <v>400</v>
      </c>
      <c r="L257">
        <v>153.6</v>
      </c>
      <c r="M257" t="str" cm="1">
        <f t="array" ref="M257">_xlfn.IFS(L257&lt;=101,"15a101minutos",
AND(L257&gt;101,L257&lt;=188),"102a188minutos",L257&gt;188,"189a274minutos")</f>
        <v>102a188minutos</v>
      </c>
    </row>
    <row r="258" spans="1:13" x14ac:dyDescent="0.25">
      <c r="A258" s="2" t="s">
        <v>221</v>
      </c>
      <c r="B258" s="2" t="s">
        <v>40</v>
      </c>
      <c r="C258" s="2" t="s">
        <v>49</v>
      </c>
      <c r="D258" s="2" t="s">
        <v>20</v>
      </c>
      <c r="E258" s="2" t="s">
        <v>31</v>
      </c>
      <c r="F258" s="2" t="s">
        <v>22</v>
      </c>
      <c r="G258" s="2" t="s">
        <v>23</v>
      </c>
      <c r="H258" t="s">
        <v>401</v>
      </c>
      <c r="I258" t="s">
        <v>402</v>
      </c>
      <c r="J258" t="s">
        <v>403</v>
      </c>
      <c r="K258" t="s">
        <v>404</v>
      </c>
      <c r="L258">
        <v>19.97</v>
      </c>
      <c r="M258" t="str" cm="1">
        <f t="array" ref="M258">_xlfn.IFS(L258&lt;=101,"15a101minutos",
AND(L258&gt;101,L258&lt;=188),"102a188minutos",L258&gt;188,"189a274minutos")</f>
        <v>15a101minutos</v>
      </c>
    </row>
    <row r="259" spans="1:13" x14ac:dyDescent="0.25">
      <c r="A259" s="2" t="s">
        <v>227</v>
      </c>
      <c r="B259" s="2" t="s">
        <v>40</v>
      </c>
      <c r="C259" s="2" t="s">
        <v>76</v>
      </c>
      <c r="D259" s="2" t="s">
        <v>20</v>
      </c>
      <c r="E259" s="2" t="s">
        <v>21</v>
      </c>
      <c r="F259" s="2" t="s">
        <v>32</v>
      </c>
      <c r="G259" s="2" t="s">
        <v>33</v>
      </c>
      <c r="H259" t="s">
        <v>405</v>
      </c>
      <c r="I259" t="s">
        <v>406</v>
      </c>
      <c r="J259" t="s">
        <v>407</v>
      </c>
      <c r="K259" t="s">
        <v>408</v>
      </c>
      <c r="L259">
        <v>273.7</v>
      </c>
      <c r="M259" t="str" cm="1">
        <f t="array" ref="M259">_xlfn.IFS(L259&lt;=101,"15a101minutos",
AND(L259&gt;101,L259&lt;=188),"102a188minutos",L259&gt;188,"189a274minutos")</f>
        <v>189a274minutos</v>
      </c>
    </row>
    <row r="260" spans="1:13" x14ac:dyDescent="0.25">
      <c r="A260" s="2" t="s">
        <v>233</v>
      </c>
      <c r="B260" s="2" t="s">
        <v>40</v>
      </c>
      <c r="C260" s="2" t="s">
        <v>41</v>
      </c>
      <c r="D260" s="2" t="s">
        <v>20</v>
      </c>
      <c r="E260" s="2" t="s">
        <v>21</v>
      </c>
      <c r="F260" s="2" t="s">
        <v>22</v>
      </c>
      <c r="G260" s="2" t="s">
        <v>23</v>
      </c>
      <c r="H260" t="s">
        <v>409</v>
      </c>
      <c r="I260" t="s">
        <v>410</v>
      </c>
      <c r="J260" t="s">
        <v>411</v>
      </c>
      <c r="K260" t="s">
        <v>412</v>
      </c>
      <c r="L260">
        <v>85.05</v>
      </c>
      <c r="M260" t="str" cm="1">
        <f t="array" ref="M260">_xlfn.IFS(L260&lt;=101,"15a101minutos",
AND(L260&gt;101,L260&lt;=188),"102a188minutos",L260&gt;188,"189a274minutos")</f>
        <v>15a101minutos</v>
      </c>
    </row>
    <row r="261" spans="1:13" x14ac:dyDescent="0.25">
      <c r="A261" s="2" t="s">
        <v>239</v>
      </c>
      <c r="B261" s="2" t="s">
        <v>40</v>
      </c>
      <c r="C261" s="2" t="s">
        <v>49</v>
      </c>
      <c r="D261" s="2" t="s">
        <v>20</v>
      </c>
      <c r="E261" s="2" t="s">
        <v>21</v>
      </c>
      <c r="F261" s="2" t="s">
        <v>32</v>
      </c>
      <c r="G261" s="2" t="s">
        <v>23</v>
      </c>
      <c r="H261" t="s">
        <v>413</v>
      </c>
      <c r="I261" t="s">
        <v>414</v>
      </c>
      <c r="J261" t="s">
        <v>415</v>
      </c>
      <c r="K261" t="s">
        <v>416</v>
      </c>
      <c r="L261">
        <v>202.13</v>
      </c>
      <c r="M261" t="str" cm="1">
        <f t="array" ref="M261">_xlfn.IFS(L261&lt;=101,"15a101minutos",
AND(L261&gt;101,L261&lt;=188),"102a188minutos",L261&gt;188,"189a274minutos")</f>
        <v>189a274minutos</v>
      </c>
    </row>
    <row r="262" spans="1:13" x14ac:dyDescent="0.25">
      <c r="A262" s="2" t="s">
        <v>245</v>
      </c>
      <c r="B262" s="2" t="s">
        <v>40</v>
      </c>
      <c r="C262" s="2" t="s">
        <v>41</v>
      </c>
      <c r="D262" s="2" t="s">
        <v>30</v>
      </c>
      <c r="E262" s="2" t="s">
        <v>31</v>
      </c>
      <c r="F262" s="2" t="s">
        <v>22</v>
      </c>
      <c r="G262" s="2" t="s">
        <v>33</v>
      </c>
      <c r="H262" t="s">
        <v>417</v>
      </c>
      <c r="I262" t="s">
        <v>418</v>
      </c>
      <c r="J262" t="s">
        <v>419</v>
      </c>
      <c r="K262" t="s">
        <v>420</v>
      </c>
      <c r="L262">
        <v>100.4</v>
      </c>
      <c r="M262" t="str" cm="1">
        <f t="array" ref="M262">_xlfn.IFS(L262&lt;=101,"15a101minutos",
AND(L262&gt;101,L262&lt;=188),"102a188minutos",L262&gt;188,"189a274minutos")</f>
        <v>15a101minutos</v>
      </c>
    </row>
    <row r="263" spans="1:13" x14ac:dyDescent="0.25">
      <c r="A263" s="2" t="s">
        <v>209</v>
      </c>
      <c r="B263" s="2" t="s">
        <v>18</v>
      </c>
      <c r="C263" s="2" t="s">
        <v>19</v>
      </c>
      <c r="D263" s="2" t="s">
        <v>20</v>
      </c>
      <c r="E263" s="2" t="s">
        <v>21</v>
      </c>
      <c r="F263" s="2" t="s">
        <v>32</v>
      </c>
      <c r="G263" s="2" t="s">
        <v>33</v>
      </c>
      <c r="H263" t="s">
        <v>393</v>
      </c>
      <c r="I263" t="s">
        <v>394</v>
      </c>
      <c r="J263" t="s">
        <v>395</v>
      </c>
      <c r="K263" t="s">
        <v>396</v>
      </c>
      <c r="L263">
        <v>45.39</v>
      </c>
      <c r="M263" t="str" cm="1">
        <f t="array" ref="M263">_xlfn.IFS(L263&lt;=101,"15a101minutos",
AND(L263&gt;101,L263&lt;=188),"102a188minutos",L263&gt;188,"189a274minutos")</f>
        <v>15a101minutos</v>
      </c>
    </row>
    <row r="264" spans="1:13" x14ac:dyDescent="0.25">
      <c r="A264" s="2" t="s">
        <v>215</v>
      </c>
      <c r="B264" s="2" t="s">
        <v>40</v>
      </c>
      <c r="C264" s="2" t="s">
        <v>41</v>
      </c>
      <c r="D264" s="2" t="s">
        <v>42</v>
      </c>
      <c r="E264" s="2" t="s">
        <v>31</v>
      </c>
      <c r="F264" s="2" t="s">
        <v>32</v>
      </c>
      <c r="G264" s="2" t="s">
        <v>33</v>
      </c>
      <c r="H264" t="s">
        <v>397</v>
      </c>
      <c r="I264" t="s">
        <v>398</v>
      </c>
      <c r="J264" t="s">
        <v>399</v>
      </c>
      <c r="K264" t="s">
        <v>400</v>
      </c>
      <c r="L264">
        <v>153.6</v>
      </c>
      <c r="M264" t="str" cm="1">
        <f t="array" ref="M264">_xlfn.IFS(L264&lt;=101,"15a101minutos",
AND(L264&gt;101,L264&lt;=188),"102a188minutos",L264&gt;188,"189a274minutos")</f>
        <v>102a188minutos</v>
      </c>
    </row>
    <row r="265" spans="1:13" x14ac:dyDescent="0.25">
      <c r="A265" s="2" t="s">
        <v>221</v>
      </c>
      <c r="B265" s="2" t="s">
        <v>40</v>
      </c>
      <c r="C265" s="2" t="s">
        <v>49</v>
      </c>
      <c r="D265" s="2" t="s">
        <v>20</v>
      </c>
      <c r="E265" s="2" t="s">
        <v>31</v>
      </c>
      <c r="F265" s="2" t="s">
        <v>22</v>
      </c>
      <c r="G265" s="2" t="s">
        <v>23</v>
      </c>
      <c r="H265" t="s">
        <v>401</v>
      </c>
      <c r="I265" t="s">
        <v>402</v>
      </c>
      <c r="J265" t="s">
        <v>403</v>
      </c>
      <c r="K265" t="s">
        <v>404</v>
      </c>
      <c r="L265">
        <v>19.97</v>
      </c>
      <c r="M265" t="str" cm="1">
        <f t="array" ref="M265">_xlfn.IFS(L265&lt;=101,"15a101minutos",
AND(L265&gt;101,L265&lt;=188),"102a188minutos",L265&gt;188,"189a274minutos")</f>
        <v>15a101minutos</v>
      </c>
    </row>
    <row r="266" spans="1:13" x14ac:dyDescent="0.25">
      <c r="A266" s="2" t="s">
        <v>227</v>
      </c>
      <c r="B266" s="2" t="s">
        <v>40</v>
      </c>
      <c r="C266" s="2" t="s">
        <v>76</v>
      </c>
      <c r="D266" s="2" t="s">
        <v>20</v>
      </c>
      <c r="E266" s="2" t="s">
        <v>21</v>
      </c>
      <c r="F266" s="2" t="s">
        <v>32</v>
      </c>
      <c r="G266" s="2" t="s">
        <v>33</v>
      </c>
      <c r="H266" t="s">
        <v>405</v>
      </c>
      <c r="I266" t="s">
        <v>406</v>
      </c>
      <c r="J266" t="s">
        <v>407</v>
      </c>
      <c r="K266" t="s">
        <v>408</v>
      </c>
      <c r="L266">
        <v>273.7</v>
      </c>
      <c r="M266" t="str" cm="1">
        <f t="array" ref="M266">_xlfn.IFS(L266&lt;=101,"15a101minutos",
AND(L266&gt;101,L266&lt;=188),"102a188minutos",L266&gt;188,"189a274minutos")</f>
        <v>189a274minutos</v>
      </c>
    </row>
    <row r="267" spans="1:13" x14ac:dyDescent="0.25">
      <c r="A267" s="2" t="s">
        <v>233</v>
      </c>
      <c r="B267" s="2" t="s">
        <v>40</v>
      </c>
      <c r="C267" s="2" t="s">
        <v>41</v>
      </c>
      <c r="D267" s="2" t="s">
        <v>20</v>
      </c>
      <c r="E267" s="2" t="s">
        <v>21</v>
      </c>
      <c r="F267" s="2" t="s">
        <v>22</v>
      </c>
      <c r="G267" s="2" t="s">
        <v>23</v>
      </c>
      <c r="H267" t="s">
        <v>409</v>
      </c>
      <c r="I267" t="s">
        <v>410</v>
      </c>
      <c r="J267" t="s">
        <v>411</v>
      </c>
      <c r="K267" t="s">
        <v>412</v>
      </c>
      <c r="L267">
        <v>85.05</v>
      </c>
      <c r="M267" t="str" cm="1">
        <f t="array" ref="M267">_xlfn.IFS(L267&lt;=101,"15a101minutos",
AND(L267&gt;101,L267&lt;=188),"102a188minutos",L267&gt;188,"189a274minutos")</f>
        <v>15a101minutos</v>
      </c>
    </row>
    <row r="268" spans="1:13" x14ac:dyDescent="0.25">
      <c r="A268" s="2" t="s">
        <v>239</v>
      </c>
      <c r="B268" s="2" t="s">
        <v>40</v>
      </c>
      <c r="C268" s="2" t="s">
        <v>49</v>
      </c>
      <c r="D268" s="2" t="s">
        <v>20</v>
      </c>
      <c r="E268" s="2" t="s">
        <v>21</v>
      </c>
      <c r="F268" s="2" t="s">
        <v>32</v>
      </c>
      <c r="G268" s="2" t="s">
        <v>23</v>
      </c>
      <c r="H268" t="s">
        <v>413</v>
      </c>
      <c r="I268" t="s">
        <v>414</v>
      </c>
      <c r="J268" t="s">
        <v>415</v>
      </c>
      <c r="K268" t="s">
        <v>416</v>
      </c>
      <c r="L268">
        <v>202.13</v>
      </c>
      <c r="M268" t="str" cm="1">
        <f t="array" ref="M268">_xlfn.IFS(L268&lt;=101,"15a101minutos",
AND(L268&gt;101,L268&lt;=188),"102a188minutos",L268&gt;188,"189a274minutos")</f>
        <v>189a274minutos</v>
      </c>
    </row>
    <row r="269" spans="1:13" x14ac:dyDescent="0.25">
      <c r="A269" s="2" t="s">
        <v>245</v>
      </c>
      <c r="B269" s="2" t="s">
        <v>40</v>
      </c>
      <c r="C269" s="2" t="s">
        <v>41</v>
      </c>
      <c r="D269" s="2" t="s">
        <v>30</v>
      </c>
      <c r="E269" s="2" t="s">
        <v>31</v>
      </c>
      <c r="F269" s="2" t="s">
        <v>22</v>
      </c>
      <c r="G269" s="2" t="s">
        <v>33</v>
      </c>
      <c r="H269" t="s">
        <v>417</v>
      </c>
      <c r="I269" t="s">
        <v>418</v>
      </c>
      <c r="J269" t="s">
        <v>419</v>
      </c>
      <c r="K269" t="s">
        <v>420</v>
      </c>
      <c r="L269">
        <v>100.4</v>
      </c>
      <c r="M269" t="str" cm="1">
        <f t="array" ref="M269">_xlfn.IFS(L269&lt;=101,"15a101minutos",
AND(L269&gt;101,L269&lt;=188),"102a188minutos",L269&gt;188,"189a274minutos")</f>
        <v>15a101minutos</v>
      </c>
    </row>
    <row r="270" spans="1:13" x14ac:dyDescent="0.25">
      <c r="A270" s="2" t="s">
        <v>251</v>
      </c>
      <c r="B270" s="2" t="s">
        <v>18</v>
      </c>
      <c r="C270" s="2" t="s">
        <v>49</v>
      </c>
      <c r="D270" s="2" t="s">
        <v>20</v>
      </c>
      <c r="E270" s="2" t="s">
        <v>21</v>
      </c>
      <c r="F270" s="2" t="s">
        <v>32</v>
      </c>
      <c r="G270" s="2" t="s">
        <v>33</v>
      </c>
      <c r="H270" t="s">
        <v>421</v>
      </c>
      <c r="I270" t="s">
        <v>422</v>
      </c>
      <c r="J270" t="s">
        <v>423</v>
      </c>
      <c r="K270" t="s">
        <v>424</v>
      </c>
      <c r="L270">
        <v>160.82</v>
      </c>
      <c r="M270" t="str" cm="1">
        <f t="array" ref="M270">_xlfn.IFS(L270&lt;=101,"15a101minutos",
AND(L270&gt;101,L270&lt;=188),"102a188minutos",L270&gt;188,"189a274minutos")</f>
        <v>102a188minutos</v>
      </c>
    </row>
    <row r="271" spans="1:13" x14ac:dyDescent="0.25">
      <c r="A271" s="2" t="s">
        <v>257</v>
      </c>
      <c r="B271" s="2" t="s">
        <v>18</v>
      </c>
      <c r="C271" s="2" t="s">
        <v>76</v>
      </c>
      <c r="D271" s="2" t="s">
        <v>20</v>
      </c>
      <c r="E271" s="2" t="s">
        <v>21</v>
      </c>
      <c r="F271" s="2" t="s">
        <v>32</v>
      </c>
      <c r="G271" s="2" t="s">
        <v>23</v>
      </c>
      <c r="H271" t="s">
        <v>425</v>
      </c>
      <c r="I271" t="s">
        <v>426</v>
      </c>
      <c r="J271" t="s">
        <v>427</v>
      </c>
      <c r="K271" t="s">
        <v>428</v>
      </c>
      <c r="L271">
        <v>168.55</v>
      </c>
      <c r="M271" t="str" cm="1">
        <f t="array" ref="M271">_xlfn.IFS(L271&lt;=101,"15a101minutos",
AND(L271&gt;101,L271&lt;=188),"102a188minutos",L271&gt;188,"189a274minutos")</f>
        <v>102a188minutos</v>
      </c>
    </row>
    <row r="272" spans="1:13" x14ac:dyDescent="0.25">
      <c r="A272" s="2" t="s">
        <v>263</v>
      </c>
      <c r="B272" s="2" t="s">
        <v>40</v>
      </c>
      <c r="C272" s="2" t="s">
        <v>19</v>
      </c>
      <c r="D272" s="2" t="s">
        <v>20</v>
      </c>
      <c r="E272" s="2" t="s">
        <v>31</v>
      </c>
      <c r="F272" s="2" t="s">
        <v>22</v>
      </c>
      <c r="G272" s="2" t="s">
        <v>23</v>
      </c>
      <c r="H272" t="s">
        <v>429</v>
      </c>
      <c r="I272" t="s">
        <v>430</v>
      </c>
      <c r="J272" t="s">
        <v>431</v>
      </c>
      <c r="K272" t="s">
        <v>432</v>
      </c>
      <c r="L272">
        <v>63.61</v>
      </c>
      <c r="M272" t="str" cm="1">
        <f t="array" ref="M272">_xlfn.IFS(L272&lt;=101,"15a101minutos",
AND(L272&gt;101,L272&lt;=188),"102a188minutos",L272&gt;188,"189a274minutos")</f>
        <v>15a101minutos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626A-7992-4334-A4F6-868ADBFBAB38}">
  <dimension ref="A1:Q272"/>
  <sheetViews>
    <sheetView tabSelected="1" workbookViewId="0">
      <selection activeCell="A2" sqref="A2"/>
    </sheetView>
  </sheetViews>
  <sheetFormatPr baseColWidth="10" defaultRowHeight="15" x14ac:dyDescent="0.25"/>
  <cols>
    <col min="1" max="1" width="15.5703125" bestFit="1" customWidth="1"/>
    <col min="2" max="2" width="16.42578125" bestFit="1" customWidth="1"/>
    <col min="3" max="3" width="17" bestFit="1" customWidth="1"/>
    <col min="4" max="4" width="19.140625" bestFit="1" customWidth="1"/>
    <col min="5" max="5" width="10.85546875" bestFit="1" customWidth="1"/>
    <col min="6" max="6" width="19.42578125" bestFit="1" customWidth="1"/>
    <col min="7" max="7" width="15.140625" bestFit="1" customWidth="1"/>
    <col min="8" max="8" width="15.42578125" bestFit="1" customWidth="1"/>
    <col min="9" max="9" width="14.140625" bestFit="1" customWidth="1"/>
    <col min="10" max="10" width="11.5703125" bestFit="1" customWidth="1"/>
    <col min="11" max="11" width="14" bestFit="1" customWidth="1"/>
    <col min="12" max="12" width="16.7109375" bestFit="1" customWidth="1"/>
  </cols>
  <sheetData>
    <row r="1" spans="1:1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0</v>
      </c>
      <c r="N1" s="1" t="s">
        <v>2</v>
      </c>
      <c r="O1" s="1" t="s">
        <v>3</v>
      </c>
      <c r="P1" s="1" t="s">
        <v>4</v>
      </c>
      <c r="Q1" s="1" t="s">
        <v>5</v>
      </c>
    </row>
    <row r="2" spans="1:17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t="str">
        <f>LEFT(A2,(LEN(A2)-LEN(RIGHT(A2,6))))</f>
        <v>94.25</v>
      </c>
      <c r="N2" t="str">
        <f>LEFT(C2,(LEN(C2)-LEN(RIGHT(C2,3))))</f>
        <v>1283.55</v>
      </c>
      <c r="O2" t="str">
        <f>LEFT(D2,(LEN(D2)-LEN(RIGHT(D2,3))))</f>
        <v>14.00</v>
      </c>
      <c r="P2" t="str">
        <f>LEFT(E2,(LEN(E2)-LEN(RIGHT(E2,3))))</f>
        <v>801.42</v>
      </c>
      <c r="Q2" t="str">
        <f>LEFT(F2,(LEN(F2)-LEN(RIGHT(F2,8))))</f>
        <v>66.76</v>
      </c>
    </row>
    <row r="3" spans="1:17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18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t="str">
        <f>LEFT(A3,(LEN(A3)-LEN(RIGHT(A3,6))))</f>
        <v>48.19</v>
      </c>
      <c r="N3" t="str">
        <f t="shared" ref="N3:N11" si="0">LEFT(C3,(LEN(C3)-LEN(RIGHT(C3,3))))</f>
        <v>367.85</v>
      </c>
      <c r="O3" t="str">
        <f t="shared" ref="O3:O11" si="1">LEFT(D3,(LEN(D3)-LEN(RIGHT(D3,3))))</f>
        <v>8.93</v>
      </c>
      <c r="P3" t="str">
        <f t="shared" ref="P3:P11" si="2">LEFT(E3,(LEN(E3)-LEN(RIGHT(E3,3))))</f>
        <v>631.62</v>
      </c>
      <c r="Q3" t="str">
        <f t="shared" ref="Q3:Q11" si="3">LEFT(F3,(LEN(F3)-LEN(RIGHT(F3,8))))</f>
        <v>114.29</v>
      </c>
    </row>
    <row r="4" spans="1:17" x14ac:dyDescent="0.25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31</v>
      </c>
      <c r="K4" s="2" t="s">
        <v>22</v>
      </c>
      <c r="L4" s="2" t="s">
        <v>23</v>
      </c>
      <c r="M4" t="str">
        <f t="shared" ref="M4:M67" si="4">LEFT(A4,(LEN(A4)-LEN(RIGHT(A4,6))))</f>
        <v>75.03</v>
      </c>
      <c r="N4" t="str">
        <f t="shared" si="0"/>
        <v>694.61</v>
      </c>
      <c r="O4" t="str">
        <f t="shared" si="1"/>
        <v>4.53</v>
      </c>
      <c r="P4" t="str">
        <f t="shared" si="2"/>
        <v>90.94</v>
      </c>
      <c r="Q4" t="str">
        <f t="shared" si="3"/>
        <v>147.93</v>
      </c>
    </row>
    <row r="5" spans="1:17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 t="s">
        <v>18</v>
      </c>
      <c r="H5" s="2" t="s">
        <v>49</v>
      </c>
      <c r="I5" s="2" t="s">
        <v>42</v>
      </c>
      <c r="J5" s="2" t="s">
        <v>50</v>
      </c>
      <c r="K5" s="2" t="s">
        <v>32</v>
      </c>
      <c r="L5" s="2" t="s">
        <v>23</v>
      </c>
      <c r="M5" t="str">
        <f t="shared" si="4"/>
        <v>103.62</v>
      </c>
      <c r="N5" t="str">
        <f t="shared" si="0"/>
        <v>1794.09</v>
      </c>
      <c r="O5" t="str">
        <f t="shared" si="1"/>
        <v>6.12</v>
      </c>
      <c r="P5" t="str">
        <f t="shared" si="2"/>
        <v>874.84</v>
      </c>
      <c r="Q5" t="str">
        <f t="shared" si="3"/>
        <v>187.39</v>
      </c>
    </row>
    <row r="6" spans="1:17" x14ac:dyDescent="0.25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18</v>
      </c>
      <c r="H6" s="2" t="s">
        <v>19</v>
      </c>
      <c r="I6" s="2" t="s">
        <v>42</v>
      </c>
      <c r="J6" s="2" t="s">
        <v>21</v>
      </c>
      <c r="K6" s="2" t="s">
        <v>32</v>
      </c>
      <c r="L6" s="2" t="s">
        <v>33</v>
      </c>
      <c r="M6" t="str">
        <f t="shared" si="4"/>
        <v>113.99</v>
      </c>
      <c r="N6" t="str">
        <f t="shared" si="0"/>
        <v>950.55</v>
      </c>
      <c r="O6" t="str">
        <f t="shared" si="1"/>
        <v>23.09</v>
      </c>
      <c r="P6" t="str">
        <f t="shared" si="2"/>
        <v>921.66</v>
      </c>
      <c r="Q6" t="str">
        <f t="shared" si="3"/>
        <v>113.83</v>
      </c>
    </row>
    <row r="7" spans="1:17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49</v>
      </c>
      <c r="I7" s="2" t="s">
        <v>20</v>
      </c>
      <c r="J7" s="2" t="s">
        <v>21</v>
      </c>
      <c r="K7" s="2" t="s">
        <v>22</v>
      </c>
      <c r="L7" s="2" t="s">
        <v>23</v>
      </c>
      <c r="M7" t="str">
        <f t="shared" si="4"/>
        <v>18.50</v>
      </c>
      <c r="N7" t="str">
        <f t="shared" si="0"/>
        <v>1336.78</v>
      </c>
      <c r="O7" t="str">
        <f t="shared" si="1"/>
        <v>10.40</v>
      </c>
      <c r="P7" t="str">
        <f t="shared" si="2"/>
        <v>70.47</v>
      </c>
      <c r="Q7" t="str">
        <f t="shared" si="3"/>
        <v>141.45</v>
      </c>
    </row>
    <row r="8" spans="1:17" x14ac:dyDescent="0.2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40</v>
      </c>
      <c r="H8" s="2" t="s">
        <v>41</v>
      </c>
      <c r="I8" s="2" t="s">
        <v>20</v>
      </c>
      <c r="J8" s="2" t="s">
        <v>50</v>
      </c>
      <c r="K8" s="2" t="s">
        <v>22</v>
      </c>
      <c r="L8" s="2" t="s">
        <v>23</v>
      </c>
      <c r="M8" t="str">
        <f t="shared" si="4"/>
        <v>111.26</v>
      </c>
      <c r="N8" t="str">
        <f t="shared" si="0"/>
        <v>348.78</v>
      </c>
      <c r="O8" t="str">
        <f t="shared" si="1"/>
        <v>18.28</v>
      </c>
      <c r="P8" t="str">
        <f t="shared" si="2"/>
        <v>284.11</v>
      </c>
      <c r="Q8" t="str">
        <f t="shared" si="3"/>
        <v>225.50</v>
      </c>
    </row>
    <row r="9" spans="1:17" x14ac:dyDescent="0.25">
      <c r="A9" s="2" t="s">
        <v>70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s="2" t="s">
        <v>40</v>
      </c>
      <c r="H9" s="2" t="s">
        <v>76</v>
      </c>
      <c r="I9" s="2" t="s">
        <v>20</v>
      </c>
      <c r="J9" s="2" t="s">
        <v>50</v>
      </c>
      <c r="K9" s="2" t="s">
        <v>22</v>
      </c>
      <c r="L9" s="2" t="s">
        <v>23</v>
      </c>
      <c r="M9" t="str">
        <f t="shared" si="4"/>
        <v>59.56</v>
      </c>
      <c r="N9" t="str">
        <f t="shared" si="0"/>
        <v>388.62</v>
      </c>
      <c r="O9" t="str">
        <f t="shared" si="1"/>
        <v>25.22</v>
      </c>
      <c r="P9" t="str">
        <f t="shared" si="2"/>
        <v>808.14</v>
      </c>
      <c r="Q9" t="str">
        <f t="shared" si="3"/>
        <v>15.82</v>
      </c>
    </row>
    <row r="10" spans="1:17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40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  <c r="M10" t="str">
        <f t="shared" si="4"/>
        <v>31.73</v>
      </c>
      <c r="N10" t="str">
        <f t="shared" si="0"/>
        <v>86.53</v>
      </c>
      <c r="O10" t="str">
        <f t="shared" si="1"/>
        <v>34.55</v>
      </c>
      <c r="P10" t="str">
        <f t="shared" si="2"/>
        <v>750.78</v>
      </c>
      <c r="Q10" t="str">
        <f t="shared" si="3"/>
        <v>79.47</v>
      </c>
    </row>
    <row r="11" spans="1:17" x14ac:dyDescent="0.25">
      <c r="A11" s="2" t="s">
        <v>83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88</v>
      </c>
      <c r="G11" s="2" t="s">
        <v>18</v>
      </c>
      <c r="H11" s="2" t="s">
        <v>49</v>
      </c>
      <c r="I11" s="2" t="s">
        <v>42</v>
      </c>
      <c r="J11" s="2" t="s">
        <v>31</v>
      </c>
      <c r="K11" s="2" t="s">
        <v>22</v>
      </c>
      <c r="L11" s="2" t="s">
        <v>33</v>
      </c>
      <c r="M11" t="str">
        <f t="shared" si="4"/>
        <v>55.64</v>
      </c>
      <c r="N11" t="str">
        <f t="shared" si="0"/>
        <v>342.03</v>
      </c>
      <c r="O11" t="str">
        <f t="shared" si="1"/>
        <v>2.06</v>
      </c>
      <c r="P11" t="str">
        <f t="shared" si="2"/>
        <v>192.68</v>
      </c>
      <c r="Q11" t="str">
        <f t="shared" si="3"/>
        <v>215.44</v>
      </c>
    </row>
    <row r="12" spans="1:17" x14ac:dyDescent="0.25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63</v>
      </c>
      <c r="H12" s="2" t="s">
        <v>19</v>
      </c>
      <c r="I12" s="2" t="s">
        <v>30</v>
      </c>
      <c r="J12" s="2" t="s">
        <v>50</v>
      </c>
      <c r="K12" s="2" t="s">
        <v>32</v>
      </c>
      <c r="L12" s="2" t="s">
        <v>33</v>
      </c>
      <c r="M12" t="str">
        <f t="shared" si="4"/>
        <v>71.07</v>
      </c>
      <c r="N12" t="str">
        <f t="shared" ref="N12:N75" si="5">LEFT(C12,(LEN(C12)-LEN(RIGHT(C12,3))))</f>
        <v>658.66</v>
      </c>
      <c r="O12" t="str">
        <f t="shared" ref="O12:O75" si="6">LEFT(D12,(LEN(D12)-LEN(RIGHT(D12,3))))</f>
        <v>2.38</v>
      </c>
      <c r="P12" t="str">
        <f t="shared" ref="P12:P75" si="7">LEFT(E12,(LEN(E12)-LEN(RIGHT(E12,3))))</f>
        <v>1164.43</v>
      </c>
      <c r="Q12" t="str">
        <f t="shared" ref="Q12:Q75" si="8">LEFT(F12,(LEN(F12)-LEN(RIGHT(F12,8))))</f>
        <v>237.84</v>
      </c>
    </row>
    <row r="13" spans="1:17" x14ac:dyDescent="0.25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18</v>
      </c>
      <c r="H13" s="2" t="s">
        <v>76</v>
      </c>
      <c r="I13" s="2" t="s">
        <v>42</v>
      </c>
      <c r="J13" s="2" t="s">
        <v>21</v>
      </c>
      <c r="K13" s="2" t="s">
        <v>22</v>
      </c>
      <c r="L13" s="2" t="s">
        <v>33</v>
      </c>
      <c r="M13" t="str">
        <f t="shared" si="4"/>
        <v>70.79</v>
      </c>
      <c r="N13" t="str">
        <f t="shared" si="5"/>
        <v>530.89</v>
      </c>
      <c r="O13" t="str">
        <f t="shared" si="6"/>
        <v>73.97</v>
      </c>
      <c r="P13" t="str">
        <f t="shared" si="7"/>
        <v>1365.85</v>
      </c>
      <c r="Q13" t="str">
        <f t="shared" si="8"/>
        <v>73.85</v>
      </c>
    </row>
    <row r="14" spans="1:17" x14ac:dyDescent="0.25">
      <c r="A14" s="2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18</v>
      </c>
      <c r="H14" s="2" t="s">
        <v>76</v>
      </c>
      <c r="I14" s="2" t="s">
        <v>30</v>
      </c>
      <c r="J14" s="2" t="s">
        <v>21</v>
      </c>
      <c r="K14" s="2" t="s">
        <v>32</v>
      </c>
      <c r="L14" s="2" t="s">
        <v>33</v>
      </c>
      <c r="M14" t="str">
        <f t="shared" si="4"/>
        <v>12.61</v>
      </c>
      <c r="N14" t="str">
        <f t="shared" si="5"/>
        <v>247.05</v>
      </c>
      <c r="O14" t="str">
        <f t="shared" si="6"/>
        <v>28.70</v>
      </c>
      <c r="P14" t="str">
        <f t="shared" si="7"/>
        <v>64.83</v>
      </c>
      <c r="Q14" t="str">
        <f t="shared" si="8"/>
        <v>19.67</v>
      </c>
    </row>
    <row r="15" spans="1:17" x14ac:dyDescent="0.25">
      <c r="A15" s="2" t="s">
        <v>107</v>
      </c>
      <c r="B15" s="2" t="s">
        <v>108</v>
      </c>
      <c r="C15" s="2" t="s">
        <v>109</v>
      </c>
      <c r="D15" s="2" t="s">
        <v>110</v>
      </c>
      <c r="E15" s="2" t="s">
        <v>111</v>
      </c>
      <c r="F15" s="2" t="s">
        <v>112</v>
      </c>
      <c r="G15" s="2" t="s">
        <v>63</v>
      </c>
      <c r="H15" s="2" t="s">
        <v>49</v>
      </c>
      <c r="I15" s="2" t="s">
        <v>20</v>
      </c>
      <c r="J15" s="2" t="s">
        <v>21</v>
      </c>
      <c r="K15" s="2" t="s">
        <v>32</v>
      </c>
      <c r="L15" s="2" t="s">
        <v>33</v>
      </c>
      <c r="M15" t="str">
        <f t="shared" si="4"/>
        <v>17.22</v>
      </c>
      <c r="N15" t="str">
        <f t="shared" si="5"/>
        <v>1240.65</v>
      </c>
      <c r="O15" t="str">
        <f t="shared" si="6"/>
        <v>86.44</v>
      </c>
      <c r="P15" t="str">
        <f t="shared" si="7"/>
        <v>1456.18</v>
      </c>
      <c r="Q15" t="str">
        <f t="shared" si="8"/>
        <v>142.03</v>
      </c>
    </row>
    <row r="16" spans="1:17" x14ac:dyDescent="0.25">
      <c r="A16" s="2" t="s">
        <v>113</v>
      </c>
      <c r="B16" s="2" t="s">
        <v>114</v>
      </c>
      <c r="C16" s="2" t="s">
        <v>115</v>
      </c>
      <c r="D16" s="2" t="s">
        <v>116</v>
      </c>
      <c r="E16" s="2" t="s">
        <v>117</v>
      </c>
      <c r="F16" s="2" t="s">
        <v>118</v>
      </c>
      <c r="G16" s="2" t="s">
        <v>63</v>
      </c>
      <c r="H16" s="2" t="s">
        <v>41</v>
      </c>
      <c r="I16" s="2" t="s">
        <v>20</v>
      </c>
      <c r="J16" s="2" t="s">
        <v>31</v>
      </c>
      <c r="K16" s="2" t="s">
        <v>32</v>
      </c>
      <c r="L16" s="2" t="s">
        <v>33</v>
      </c>
      <c r="M16" t="str">
        <f t="shared" si="4"/>
        <v>66.19</v>
      </c>
      <c r="N16" t="str">
        <f t="shared" si="5"/>
        <v>720.39</v>
      </c>
      <c r="O16" t="str">
        <f t="shared" si="6"/>
        <v>37.80</v>
      </c>
      <c r="P16" t="str">
        <f t="shared" si="7"/>
        <v>1097.66</v>
      </c>
      <c r="Q16" t="str">
        <f t="shared" si="8"/>
        <v>37.53</v>
      </c>
    </row>
    <row r="17" spans="1:17" x14ac:dyDescent="0.25">
      <c r="A17" s="2" t="s">
        <v>119</v>
      </c>
      <c r="B17" s="2" t="s">
        <v>120</v>
      </c>
      <c r="C17" s="2" t="s">
        <v>121</v>
      </c>
      <c r="D17" s="2" t="s">
        <v>122</v>
      </c>
      <c r="E17" s="2" t="s">
        <v>123</v>
      </c>
      <c r="F17" s="2" t="s">
        <v>124</v>
      </c>
      <c r="G17" s="2" t="s">
        <v>40</v>
      </c>
      <c r="H17" s="2" t="s">
        <v>76</v>
      </c>
      <c r="I17" s="2" t="s">
        <v>42</v>
      </c>
      <c r="J17" s="2" t="s">
        <v>50</v>
      </c>
      <c r="K17" s="2" t="s">
        <v>32</v>
      </c>
      <c r="L17" s="2" t="s">
        <v>33</v>
      </c>
      <c r="M17" t="str">
        <f t="shared" si="4"/>
        <v>22.47</v>
      </c>
      <c r="N17" t="str">
        <f t="shared" si="5"/>
        <v>1959.24</v>
      </c>
      <c r="O17" t="str">
        <f t="shared" si="6"/>
        <v>19.19</v>
      </c>
      <c r="P17" t="str">
        <f t="shared" si="7"/>
        <v>1465.60</v>
      </c>
      <c r="Q17" t="str">
        <f t="shared" si="8"/>
        <v>126.44</v>
      </c>
    </row>
    <row r="18" spans="1:17" x14ac:dyDescent="0.25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63</v>
      </c>
      <c r="H18" s="2" t="s">
        <v>41</v>
      </c>
      <c r="I18" s="2" t="s">
        <v>20</v>
      </c>
      <c r="J18" s="2" t="s">
        <v>21</v>
      </c>
      <c r="K18" s="2" t="s">
        <v>22</v>
      </c>
      <c r="L18" s="2" t="s">
        <v>23</v>
      </c>
      <c r="M18" t="str">
        <f t="shared" si="4"/>
        <v>56.32</v>
      </c>
      <c r="N18" t="str">
        <f t="shared" si="5"/>
        <v>1328.28</v>
      </c>
      <c r="O18" t="str">
        <f t="shared" si="6"/>
        <v>92.45</v>
      </c>
      <c r="P18" t="str">
        <f t="shared" si="7"/>
        <v>1588.47</v>
      </c>
      <c r="Q18" t="str">
        <f t="shared" si="8"/>
        <v>131.78</v>
      </c>
    </row>
    <row r="19" spans="1:17" x14ac:dyDescent="0.25">
      <c r="A19" s="2" t="s">
        <v>131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40</v>
      </c>
      <c r="H19" s="2" t="s">
        <v>49</v>
      </c>
      <c r="I19" s="2" t="s">
        <v>20</v>
      </c>
      <c r="J19" s="2" t="s">
        <v>31</v>
      </c>
      <c r="K19" s="2" t="s">
        <v>22</v>
      </c>
      <c r="L19" s="2" t="s">
        <v>23</v>
      </c>
      <c r="M19" t="str">
        <f t="shared" si="4"/>
        <v>69.64</v>
      </c>
      <c r="N19" t="str">
        <f t="shared" si="5"/>
        <v>1786.82</v>
      </c>
      <c r="O19" t="str">
        <f t="shared" si="6"/>
        <v>14.77</v>
      </c>
      <c r="P19" t="str">
        <f t="shared" si="7"/>
        <v>493.68</v>
      </c>
      <c r="Q19" t="str">
        <f t="shared" si="8"/>
        <v>101.25</v>
      </c>
    </row>
    <row r="20" spans="1:17" x14ac:dyDescent="0.25">
      <c r="A20" s="2" t="s">
        <v>137</v>
      </c>
      <c r="B20" s="2" t="s">
        <v>138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63</v>
      </c>
      <c r="H20" s="2" t="s">
        <v>19</v>
      </c>
      <c r="I20" s="2" t="s">
        <v>20</v>
      </c>
      <c r="J20" s="2" t="s">
        <v>50</v>
      </c>
      <c r="K20" s="2" t="s">
        <v>22</v>
      </c>
      <c r="L20" s="2" t="s">
        <v>23</v>
      </c>
      <c r="M20" t="str">
        <f t="shared" si="4"/>
        <v>29.29</v>
      </c>
      <c r="N20" t="str">
        <f t="shared" si="5"/>
        <v>1900.56</v>
      </c>
      <c r="O20" t="str">
        <f t="shared" si="6"/>
        <v>19.14</v>
      </c>
      <c r="P20" t="str">
        <f t="shared" si="7"/>
        <v>680.80</v>
      </c>
      <c r="Q20" t="str">
        <f t="shared" si="8"/>
        <v>194.22</v>
      </c>
    </row>
    <row r="21" spans="1:17" x14ac:dyDescent="0.25">
      <c r="A21" s="2" t="s">
        <v>143</v>
      </c>
      <c r="B21" s="2" t="s">
        <v>144</v>
      </c>
      <c r="C21" s="2" t="s">
        <v>145</v>
      </c>
      <c r="D21" s="2" t="s">
        <v>146</v>
      </c>
      <c r="E21" s="2" t="s">
        <v>147</v>
      </c>
      <c r="F21" s="2" t="s">
        <v>82</v>
      </c>
      <c r="G21" s="2" t="s">
        <v>18</v>
      </c>
      <c r="H21" s="2" t="s">
        <v>76</v>
      </c>
      <c r="I21" s="2" t="s">
        <v>30</v>
      </c>
      <c r="J21" s="2" t="s">
        <v>21</v>
      </c>
      <c r="K21" s="2" t="s">
        <v>22</v>
      </c>
      <c r="L21" s="2" t="s">
        <v>23</v>
      </c>
      <c r="M21" t="str">
        <f t="shared" si="4"/>
        <v>118.72</v>
      </c>
      <c r="N21" t="str">
        <f t="shared" si="5"/>
        <v>106.61</v>
      </c>
      <c r="O21" t="str">
        <f t="shared" si="6"/>
        <v>6.26</v>
      </c>
      <c r="P21" t="str">
        <f t="shared" si="7"/>
        <v>1456.91</v>
      </c>
      <c r="Q21" t="str">
        <f t="shared" si="8"/>
        <v>79.47</v>
      </c>
    </row>
    <row r="22" spans="1:17" x14ac:dyDescent="0.25">
      <c r="A22" s="2" t="s">
        <v>148</v>
      </c>
      <c r="B22" s="2" t="s">
        <v>149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63</v>
      </c>
      <c r="H22" s="2" t="s">
        <v>49</v>
      </c>
      <c r="I22" s="2" t="s">
        <v>30</v>
      </c>
      <c r="J22" s="2" t="s">
        <v>50</v>
      </c>
      <c r="K22" s="2" t="s">
        <v>32</v>
      </c>
      <c r="L22" s="2" t="s">
        <v>33</v>
      </c>
      <c r="M22" t="str">
        <f t="shared" si="4"/>
        <v>72.5</v>
      </c>
      <c r="N22" t="str">
        <f t="shared" si="5"/>
        <v>850</v>
      </c>
      <c r="O22" t="str">
        <f t="shared" si="6"/>
        <v>12.5</v>
      </c>
      <c r="P22" t="str">
        <f t="shared" si="7"/>
        <v>1200</v>
      </c>
      <c r="Q22" t="str">
        <f t="shared" si="8"/>
        <v>145</v>
      </c>
    </row>
    <row r="23" spans="1:17" x14ac:dyDescent="0.25">
      <c r="A23" s="2" t="s">
        <v>154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18</v>
      </c>
      <c r="H23" s="2" t="s">
        <v>76</v>
      </c>
      <c r="I23" s="2" t="s">
        <v>20</v>
      </c>
      <c r="J23" s="2" t="s">
        <v>21</v>
      </c>
      <c r="K23" s="2" t="s">
        <v>22</v>
      </c>
      <c r="L23" s="2" t="s">
        <v>23</v>
      </c>
      <c r="M23" t="str">
        <f t="shared" si="4"/>
        <v>48.3</v>
      </c>
      <c r="N23" t="str">
        <f t="shared" si="5"/>
        <v>600</v>
      </c>
      <c r="O23" t="str">
        <f t="shared" si="6"/>
        <v>8.3</v>
      </c>
      <c r="P23" t="str">
        <f t="shared" si="7"/>
        <v>950</v>
      </c>
      <c r="Q23" t="str">
        <f t="shared" si="8"/>
        <v>110</v>
      </c>
    </row>
    <row r="24" spans="1:17" x14ac:dyDescent="0.25">
      <c r="A24" s="2" t="s">
        <v>160</v>
      </c>
      <c r="B24" s="2" t="s">
        <v>161</v>
      </c>
      <c r="C24" s="2" t="s">
        <v>162</v>
      </c>
      <c r="D24" s="2" t="s">
        <v>163</v>
      </c>
      <c r="E24" s="2" t="s">
        <v>164</v>
      </c>
      <c r="F24" s="2" t="s">
        <v>165</v>
      </c>
      <c r="G24" s="2" t="s">
        <v>40</v>
      </c>
      <c r="H24" s="2" t="s">
        <v>19</v>
      </c>
      <c r="I24" s="2" t="s">
        <v>42</v>
      </c>
      <c r="J24" s="2" t="s">
        <v>31</v>
      </c>
      <c r="K24" s="2" t="s">
        <v>32</v>
      </c>
      <c r="L24" s="2" t="s">
        <v>33</v>
      </c>
      <c r="M24" t="str">
        <f t="shared" si="4"/>
        <v>96.1</v>
      </c>
      <c r="N24" t="str">
        <f t="shared" si="5"/>
        <v>1300</v>
      </c>
      <c r="O24" t="str">
        <f t="shared" si="6"/>
        <v>15.7</v>
      </c>
      <c r="P24" t="str">
        <f t="shared" si="7"/>
        <v>1800</v>
      </c>
      <c r="Q24" t="str">
        <f t="shared" si="8"/>
        <v>200</v>
      </c>
    </row>
    <row r="25" spans="1:17" x14ac:dyDescent="0.25">
      <c r="A25" s="2" t="s">
        <v>166</v>
      </c>
      <c r="B25" s="2" t="s">
        <v>167</v>
      </c>
      <c r="C25" s="2" t="s">
        <v>168</v>
      </c>
      <c r="D25" s="2" t="s">
        <v>169</v>
      </c>
      <c r="E25" s="2" t="s">
        <v>170</v>
      </c>
      <c r="F25" s="2" t="s">
        <v>171</v>
      </c>
      <c r="G25" s="2" t="s">
        <v>63</v>
      </c>
      <c r="H25" s="2" t="s">
        <v>41</v>
      </c>
      <c r="I25" s="2" t="s">
        <v>30</v>
      </c>
      <c r="J25" s="2" t="s">
        <v>50</v>
      </c>
      <c r="K25" s="2" t="s">
        <v>32</v>
      </c>
      <c r="L25" s="2" t="s">
        <v>23</v>
      </c>
      <c r="M25" t="str">
        <f t="shared" si="4"/>
        <v>24.7</v>
      </c>
      <c r="N25" t="str">
        <f t="shared" si="5"/>
        <v>300</v>
      </c>
      <c r="O25" t="str">
        <f t="shared" si="6"/>
        <v>5.4</v>
      </c>
      <c r="P25" t="str">
        <f t="shared" si="7"/>
        <v>500</v>
      </c>
      <c r="Q25" t="str">
        <f t="shared" si="8"/>
        <v>75</v>
      </c>
    </row>
    <row r="26" spans="1:17" x14ac:dyDescent="0.25">
      <c r="A26" s="2" t="s">
        <v>172</v>
      </c>
      <c r="B26" s="2" t="s">
        <v>173</v>
      </c>
      <c r="C26" s="2" t="s">
        <v>174</v>
      </c>
      <c r="D26" s="2" t="s">
        <v>175</v>
      </c>
      <c r="E26" s="2" t="s">
        <v>176</v>
      </c>
      <c r="F26" s="2" t="s">
        <v>177</v>
      </c>
      <c r="G26" s="2" t="s">
        <v>18</v>
      </c>
      <c r="H26" s="2" t="s">
        <v>49</v>
      </c>
      <c r="I26" s="2" t="s">
        <v>42</v>
      </c>
      <c r="J26" s="2" t="s">
        <v>21</v>
      </c>
      <c r="K26" s="2" t="s">
        <v>22</v>
      </c>
      <c r="L26" s="2" t="s">
        <v>33</v>
      </c>
      <c r="M26" t="str">
        <f t="shared" si="4"/>
        <v>60.0</v>
      </c>
      <c r="N26" t="str">
        <f t="shared" si="5"/>
        <v>1000</v>
      </c>
      <c r="O26" t="str">
        <f t="shared" si="6"/>
        <v>10.2</v>
      </c>
      <c r="P26" t="str">
        <f t="shared" si="7"/>
        <v>1500</v>
      </c>
      <c r="Q26" t="str">
        <f t="shared" si="8"/>
        <v>130</v>
      </c>
    </row>
    <row r="27" spans="1:17" x14ac:dyDescent="0.25">
      <c r="A27" s="2" t="s">
        <v>178</v>
      </c>
      <c r="B27" s="2" t="s">
        <v>179</v>
      </c>
      <c r="C27" s="2" t="s">
        <v>180</v>
      </c>
      <c r="D27" s="2" t="s">
        <v>181</v>
      </c>
      <c r="E27" s="2" t="s">
        <v>182</v>
      </c>
      <c r="F27" s="2" t="s">
        <v>183</v>
      </c>
      <c r="G27" s="2" t="s">
        <v>40</v>
      </c>
      <c r="H27" s="2" t="s">
        <v>76</v>
      </c>
      <c r="I27" s="2" t="s">
        <v>20</v>
      </c>
      <c r="J27" s="2" t="s">
        <v>31</v>
      </c>
      <c r="K27" s="2" t="s">
        <v>32</v>
      </c>
      <c r="L27" s="2" t="s">
        <v>23</v>
      </c>
      <c r="M27" t="str">
        <f t="shared" si="4"/>
        <v>36.5</v>
      </c>
      <c r="N27" t="str">
        <f t="shared" si="5"/>
        <v>750</v>
      </c>
      <c r="O27" t="str">
        <f t="shared" si="6"/>
        <v>7.5</v>
      </c>
      <c r="P27" t="str">
        <f t="shared" si="7"/>
        <v>800</v>
      </c>
      <c r="Q27" t="str">
        <f t="shared" si="8"/>
        <v>90</v>
      </c>
    </row>
    <row r="28" spans="1:17" x14ac:dyDescent="0.25">
      <c r="A28" s="2" t="s">
        <v>184</v>
      </c>
      <c r="B28" s="2" t="s">
        <v>185</v>
      </c>
      <c r="C28" s="2" t="s">
        <v>186</v>
      </c>
      <c r="D28" s="2" t="s">
        <v>187</v>
      </c>
      <c r="E28" s="2" t="s">
        <v>188</v>
      </c>
      <c r="F28" s="2" t="s">
        <v>189</v>
      </c>
      <c r="G28" s="2" t="s">
        <v>63</v>
      </c>
      <c r="H28" s="2" t="s">
        <v>19</v>
      </c>
      <c r="I28" s="2" t="s">
        <v>30</v>
      </c>
      <c r="J28" s="2" t="s">
        <v>50</v>
      </c>
      <c r="K28" s="2" t="s">
        <v>32</v>
      </c>
      <c r="L28" s="2" t="s">
        <v>33</v>
      </c>
      <c r="M28" t="str">
        <f t="shared" si="4"/>
        <v>108.2</v>
      </c>
      <c r="N28" t="str">
        <f t="shared" si="5"/>
        <v>2000</v>
      </c>
      <c r="O28" t="str">
        <f t="shared" si="6"/>
        <v>20.0</v>
      </c>
      <c r="P28" t="str">
        <f t="shared" si="7"/>
        <v>2000</v>
      </c>
      <c r="Q28" t="str">
        <f t="shared" si="8"/>
        <v>220</v>
      </c>
    </row>
    <row r="29" spans="1:17" x14ac:dyDescent="0.25">
      <c r="A29" s="2" t="s">
        <v>190</v>
      </c>
      <c r="B29" s="2" t="s">
        <v>191</v>
      </c>
      <c r="C29" s="2" t="s">
        <v>192</v>
      </c>
      <c r="D29" s="2" t="s">
        <v>193</v>
      </c>
      <c r="E29" s="2" t="s">
        <v>194</v>
      </c>
      <c r="F29" s="2" t="s">
        <v>195</v>
      </c>
      <c r="G29" s="2" t="s">
        <v>18</v>
      </c>
      <c r="H29" s="2" t="s">
        <v>41</v>
      </c>
      <c r="I29" s="2" t="s">
        <v>42</v>
      </c>
      <c r="J29" s="2" t="s">
        <v>21</v>
      </c>
      <c r="K29" s="2" t="s">
        <v>22</v>
      </c>
      <c r="L29" s="2" t="s">
        <v>23</v>
      </c>
      <c r="M29" t="str">
        <f t="shared" si="4"/>
        <v>54.0</v>
      </c>
      <c r="N29" t="str">
        <f t="shared" si="5"/>
        <v>1200</v>
      </c>
      <c r="O29" t="str">
        <f t="shared" si="6"/>
        <v>9.8</v>
      </c>
      <c r="P29" t="str">
        <f t="shared" si="7"/>
        <v>1100</v>
      </c>
      <c r="Q29" t="str">
        <f t="shared" si="8"/>
        <v>140</v>
      </c>
    </row>
    <row r="30" spans="1:17" x14ac:dyDescent="0.25">
      <c r="A30" s="2" t="s">
        <v>196</v>
      </c>
      <c r="B30" s="2" t="s">
        <v>197</v>
      </c>
      <c r="C30" s="2" t="s">
        <v>198</v>
      </c>
      <c r="D30" s="2" t="s">
        <v>199</v>
      </c>
      <c r="E30" s="2" t="s">
        <v>200</v>
      </c>
      <c r="F30" s="2" t="s">
        <v>201</v>
      </c>
      <c r="G30" s="2" t="s">
        <v>40</v>
      </c>
      <c r="H30" s="2" t="s">
        <v>49</v>
      </c>
      <c r="I30" s="2" t="s">
        <v>20</v>
      </c>
      <c r="J30" s="2" t="s">
        <v>31</v>
      </c>
      <c r="K30" s="2" t="s">
        <v>32</v>
      </c>
      <c r="L30" s="2" t="s">
        <v>23</v>
      </c>
      <c r="M30" t="str">
        <f t="shared" si="4"/>
        <v>42.8</v>
      </c>
      <c r="N30" t="str">
        <f t="shared" si="5"/>
        <v>500</v>
      </c>
      <c r="O30" t="str">
        <f t="shared" si="6"/>
        <v>6.3</v>
      </c>
      <c r="P30" t="str">
        <f t="shared" si="7"/>
        <v>600</v>
      </c>
      <c r="Q30" t="str">
        <f t="shared" si="8"/>
        <v>100</v>
      </c>
    </row>
    <row r="31" spans="1:17" x14ac:dyDescent="0.25">
      <c r="A31" s="2" t="s">
        <v>202</v>
      </c>
      <c r="B31" s="2" t="s">
        <v>203</v>
      </c>
      <c r="C31" s="2" t="s">
        <v>204</v>
      </c>
      <c r="D31" s="2" t="s">
        <v>205</v>
      </c>
      <c r="E31" s="2" t="s">
        <v>206</v>
      </c>
      <c r="F31" s="2" t="s">
        <v>207</v>
      </c>
      <c r="G31" s="2" t="s">
        <v>63</v>
      </c>
      <c r="H31" s="2" t="s">
        <v>76</v>
      </c>
      <c r="I31" s="2" t="s">
        <v>30</v>
      </c>
      <c r="J31" s="2" t="s">
        <v>50</v>
      </c>
      <c r="K31" s="2" t="s">
        <v>32</v>
      </c>
      <c r="L31" s="2" t="s">
        <v>33</v>
      </c>
      <c r="M31" t="str">
        <f t="shared" si="4"/>
        <v>90.4</v>
      </c>
      <c r="N31" t="str">
        <f t="shared" si="5"/>
        <v>1500</v>
      </c>
      <c r="O31" t="str">
        <f t="shared" si="6"/>
        <v>18.5</v>
      </c>
      <c r="P31" t="str">
        <f t="shared" si="7"/>
        <v>1750</v>
      </c>
      <c r="Q31" t="str">
        <f t="shared" si="8"/>
        <v>190</v>
      </c>
    </row>
    <row r="32" spans="1:17" x14ac:dyDescent="0.25">
      <c r="A32" s="2" t="s">
        <v>208</v>
      </c>
      <c r="B32" s="2" t="s">
        <v>209</v>
      </c>
      <c r="C32" s="2" t="s">
        <v>210</v>
      </c>
      <c r="D32" s="2" t="s">
        <v>211</v>
      </c>
      <c r="E32" s="2" t="s">
        <v>212</v>
      </c>
      <c r="F32" s="2" t="s">
        <v>213</v>
      </c>
      <c r="G32" s="2" t="s">
        <v>18</v>
      </c>
      <c r="H32" s="2" t="s">
        <v>19</v>
      </c>
      <c r="I32" s="2" t="s">
        <v>20</v>
      </c>
      <c r="J32" s="2" t="s">
        <v>21</v>
      </c>
      <c r="K32" s="2" t="s">
        <v>32</v>
      </c>
      <c r="L32" s="2" t="s">
        <v>33</v>
      </c>
      <c r="M32" t="str">
        <f t="shared" si="4"/>
        <v>12.14</v>
      </c>
      <c r="N32" t="str">
        <f t="shared" si="5"/>
        <v>780.35</v>
      </c>
      <c r="O32" t="str">
        <f t="shared" si="6"/>
        <v>4.14</v>
      </c>
      <c r="P32" t="str">
        <f t="shared" si="7"/>
        <v>158.90</v>
      </c>
      <c r="Q32" t="str">
        <f t="shared" si="8"/>
        <v>45.39</v>
      </c>
    </row>
    <row r="33" spans="1:17" x14ac:dyDescent="0.25">
      <c r="A33" s="2" t="s">
        <v>214</v>
      </c>
      <c r="B33" s="2" t="s">
        <v>215</v>
      </c>
      <c r="C33" s="2" t="s">
        <v>216</v>
      </c>
      <c r="D33" s="2" t="s">
        <v>217</v>
      </c>
      <c r="E33" s="2" t="s">
        <v>218</v>
      </c>
      <c r="F33" s="2" t="s">
        <v>219</v>
      </c>
      <c r="G33" s="2" t="s">
        <v>40</v>
      </c>
      <c r="H33" s="2" t="s">
        <v>41</v>
      </c>
      <c r="I33" s="2" t="s">
        <v>42</v>
      </c>
      <c r="J33" s="2" t="s">
        <v>31</v>
      </c>
      <c r="K33" s="2" t="s">
        <v>32</v>
      </c>
      <c r="L33" s="2" t="s">
        <v>33</v>
      </c>
      <c r="M33" t="str">
        <f t="shared" si="4"/>
        <v>40.66</v>
      </c>
      <c r="N33" t="str">
        <f t="shared" si="5"/>
        <v>1903.89</v>
      </c>
      <c r="O33" t="str">
        <f t="shared" si="6"/>
        <v>37.22</v>
      </c>
      <c r="P33" t="str">
        <f t="shared" si="7"/>
        <v>900.12</v>
      </c>
      <c r="Q33" t="str">
        <f t="shared" si="8"/>
        <v>153.60</v>
      </c>
    </row>
    <row r="34" spans="1:17" x14ac:dyDescent="0.25">
      <c r="A34" s="2" t="s">
        <v>220</v>
      </c>
      <c r="B34" s="2" t="s">
        <v>221</v>
      </c>
      <c r="C34" s="2" t="s">
        <v>222</v>
      </c>
      <c r="D34" s="2" t="s">
        <v>223</v>
      </c>
      <c r="E34" s="2" t="s">
        <v>224</v>
      </c>
      <c r="F34" s="2" t="s">
        <v>225</v>
      </c>
      <c r="G34" s="2" t="s">
        <v>40</v>
      </c>
      <c r="H34" s="2" t="s">
        <v>49</v>
      </c>
      <c r="I34" s="2" t="s">
        <v>20</v>
      </c>
      <c r="J34" s="2" t="s">
        <v>31</v>
      </c>
      <c r="K34" s="2" t="s">
        <v>22</v>
      </c>
      <c r="L34" s="2" t="s">
        <v>23</v>
      </c>
      <c r="M34" t="str">
        <f t="shared" si="4"/>
        <v>34.68</v>
      </c>
      <c r="N34" t="str">
        <f t="shared" si="5"/>
        <v>1477.39</v>
      </c>
      <c r="O34" t="str">
        <f t="shared" si="6"/>
        <v>25.83</v>
      </c>
      <c r="P34" t="str">
        <f t="shared" si="7"/>
        <v>743.11</v>
      </c>
      <c r="Q34" t="str">
        <f t="shared" si="8"/>
        <v>19.97</v>
      </c>
    </row>
    <row r="35" spans="1:17" x14ac:dyDescent="0.25">
      <c r="A35" s="2" t="s">
        <v>226</v>
      </c>
      <c r="B35" s="2" t="s">
        <v>227</v>
      </c>
      <c r="C35" s="2" t="s">
        <v>228</v>
      </c>
      <c r="D35" s="2" t="s">
        <v>229</v>
      </c>
      <c r="E35" s="2" t="s">
        <v>230</v>
      </c>
      <c r="F35" s="2" t="s">
        <v>231</v>
      </c>
      <c r="G35" s="2" t="s">
        <v>40</v>
      </c>
      <c r="H35" s="2" t="s">
        <v>76</v>
      </c>
      <c r="I35" s="2" t="s">
        <v>20</v>
      </c>
      <c r="J35" s="2" t="s">
        <v>21</v>
      </c>
      <c r="K35" s="2" t="s">
        <v>32</v>
      </c>
      <c r="L35" s="2" t="s">
        <v>33</v>
      </c>
      <c r="M35" t="str">
        <f t="shared" si="4"/>
        <v>15.62</v>
      </c>
      <c r="N35" t="str">
        <f t="shared" si="5"/>
        <v>1217.38</v>
      </c>
      <c r="O35" t="str">
        <f t="shared" si="6"/>
        <v>9.96</v>
      </c>
      <c r="P35" t="str">
        <f t="shared" si="7"/>
        <v>308.81</v>
      </c>
      <c r="Q35" t="str">
        <f t="shared" si="8"/>
        <v>273.70</v>
      </c>
    </row>
    <row r="36" spans="1:17" x14ac:dyDescent="0.25">
      <c r="A36" s="2" t="s">
        <v>232</v>
      </c>
      <c r="B36" s="2" t="s">
        <v>233</v>
      </c>
      <c r="C36" s="2" t="s">
        <v>234</v>
      </c>
      <c r="D36" s="2" t="s">
        <v>235</v>
      </c>
      <c r="E36" s="2" t="s">
        <v>236</v>
      </c>
      <c r="F36" s="2" t="s">
        <v>237</v>
      </c>
      <c r="G36" s="2" t="s">
        <v>40</v>
      </c>
      <c r="H36" s="2" t="s">
        <v>41</v>
      </c>
      <c r="I36" s="2" t="s">
        <v>20</v>
      </c>
      <c r="J36" s="2" t="s">
        <v>21</v>
      </c>
      <c r="K36" s="2" t="s">
        <v>22</v>
      </c>
      <c r="L36" s="2" t="s">
        <v>23</v>
      </c>
      <c r="M36" t="str">
        <f t="shared" si="4"/>
        <v>4.51</v>
      </c>
      <c r="N36" t="str">
        <f t="shared" si="5"/>
        <v>354.24</v>
      </c>
      <c r="O36" t="str">
        <f t="shared" si="6"/>
        <v>2.74</v>
      </c>
      <c r="P36" t="str">
        <f t="shared" si="7"/>
        <v>92.20</v>
      </c>
      <c r="Q36" t="str">
        <f t="shared" si="8"/>
        <v>85.05</v>
      </c>
    </row>
    <row r="37" spans="1:17" x14ac:dyDescent="0.25">
      <c r="A37" s="2" t="s">
        <v>238</v>
      </c>
      <c r="B37" s="2" t="s">
        <v>239</v>
      </c>
      <c r="C37" s="2" t="s">
        <v>240</v>
      </c>
      <c r="D37" s="2" t="s">
        <v>241</v>
      </c>
      <c r="E37" s="2" t="s">
        <v>242</v>
      </c>
      <c r="F37" s="2" t="s">
        <v>243</v>
      </c>
      <c r="G37" s="2" t="s">
        <v>40</v>
      </c>
      <c r="H37" s="2" t="s">
        <v>49</v>
      </c>
      <c r="I37" s="2" t="s">
        <v>20</v>
      </c>
      <c r="J37" s="2" t="s">
        <v>21</v>
      </c>
      <c r="K37" s="2" t="s">
        <v>32</v>
      </c>
      <c r="L37" s="2" t="s">
        <v>23</v>
      </c>
      <c r="M37" t="str">
        <f t="shared" si="4"/>
        <v>4.90</v>
      </c>
      <c r="N37" t="str">
        <f t="shared" si="5"/>
        <v>354.19</v>
      </c>
      <c r="O37" t="str">
        <f t="shared" si="6"/>
        <v>2.75</v>
      </c>
      <c r="P37" t="str">
        <f t="shared" si="7"/>
        <v>119.57</v>
      </c>
      <c r="Q37" t="str">
        <f t="shared" si="8"/>
        <v>202.13</v>
      </c>
    </row>
    <row r="38" spans="1:17" x14ac:dyDescent="0.25">
      <c r="A38" s="2" t="s">
        <v>244</v>
      </c>
      <c r="B38" s="2" t="s">
        <v>245</v>
      </c>
      <c r="C38" s="2" t="s">
        <v>246</v>
      </c>
      <c r="D38" s="2" t="s">
        <v>247</v>
      </c>
      <c r="E38" s="2" t="s">
        <v>248</v>
      </c>
      <c r="F38" s="2" t="s">
        <v>249</v>
      </c>
      <c r="G38" s="2" t="s">
        <v>40</v>
      </c>
      <c r="H38" s="2" t="s">
        <v>41</v>
      </c>
      <c r="I38" s="2" t="s">
        <v>30</v>
      </c>
      <c r="J38" s="2" t="s">
        <v>31</v>
      </c>
      <c r="K38" s="2" t="s">
        <v>22</v>
      </c>
      <c r="L38" s="2" t="s">
        <v>33</v>
      </c>
      <c r="M38" t="str">
        <f t="shared" si="4"/>
        <v>3.13</v>
      </c>
      <c r="N38" t="str">
        <f t="shared" si="5"/>
        <v>163.26</v>
      </c>
      <c r="O38" t="str">
        <f t="shared" si="6"/>
        <v>1.56</v>
      </c>
      <c r="P38" t="str">
        <f t="shared" si="7"/>
        <v>40.58</v>
      </c>
      <c r="Q38" t="str">
        <f t="shared" si="8"/>
        <v>100.40</v>
      </c>
    </row>
    <row r="39" spans="1:17" x14ac:dyDescent="0.25">
      <c r="A39" s="2" t="s">
        <v>250</v>
      </c>
      <c r="B39" s="2" t="s">
        <v>251</v>
      </c>
      <c r="C39" s="2" t="s">
        <v>252</v>
      </c>
      <c r="D39" s="2" t="s">
        <v>253</v>
      </c>
      <c r="E39" s="2" t="s">
        <v>254</v>
      </c>
      <c r="F39" s="2" t="s">
        <v>255</v>
      </c>
      <c r="G39" s="2" t="s">
        <v>18</v>
      </c>
      <c r="H39" s="2" t="s">
        <v>49</v>
      </c>
      <c r="I39" s="2" t="s">
        <v>20</v>
      </c>
      <c r="J39" s="2" t="s">
        <v>21</v>
      </c>
      <c r="K39" s="2" t="s">
        <v>32</v>
      </c>
      <c r="L39" s="2" t="s">
        <v>33</v>
      </c>
      <c r="M39" t="str">
        <f t="shared" si="4"/>
        <v>39.61</v>
      </c>
      <c r="N39" t="str">
        <f t="shared" si="5"/>
        <v>1739.04</v>
      </c>
      <c r="O39" t="str">
        <f t="shared" si="6"/>
        <v>22.38</v>
      </c>
      <c r="P39" t="str">
        <f t="shared" si="7"/>
        <v>792.99</v>
      </c>
      <c r="Q39" t="str">
        <f t="shared" si="8"/>
        <v>160.82</v>
      </c>
    </row>
    <row r="40" spans="1:17" x14ac:dyDescent="0.25">
      <c r="A40" s="2" t="s">
        <v>256</v>
      </c>
      <c r="B40" s="2" t="s">
        <v>257</v>
      </c>
      <c r="C40" s="2" t="s">
        <v>258</v>
      </c>
      <c r="D40" s="2" t="s">
        <v>259</v>
      </c>
      <c r="E40" s="2" t="s">
        <v>260</v>
      </c>
      <c r="F40" s="2" t="s">
        <v>261</v>
      </c>
      <c r="G40" s="2" t="s">
        <v>18</v>
      </c>
      <c r="H40" s="2" t="s">
        <v>76</v>
      </c>
      <c r="I40" s="2" t="s">
        <v>20</v>
      </c>
      <c r="J40" s="2" t="s">
        <v>21</v>
      </c>
      <c r="K40" s="2" t="s">
        <v>32</v>
      </c>
      <c r="L40" s="2" t="s">
        <v>23</v>
      </c>
      <c r="M40" t="str">
        <f t="shared" si="4"/>
        <v>18.14</v>
      </c>
      <c r="N40" t="str">
        <f t="shared" si="5"/>
        <v>1222.17</v>
      </c>
      <c r="O40" t="str">
        <f t="shared" si="6"/>
        <v>14.03</v>
      </c>
      <c r="P40" t="str">
        <f t="shared" si="7"/>
        <v>529.93</v>
      </c>
      <c r="Q40" t="str">
        <f t="shared" si="8"/>
        <v>168.55</v>
      </c>
    </row>
    <row r="41" spans="1:17" x14ac:dyDescent="0.25">
      <c r="A41" s="2" t="s">
        <v>262</v>
      </c>
      <c r="B41" s="2" t="s">
        <v>263</v>
      </c>
      <c r="C41" s="2" t="s">
        <v>264</v>
      </c>
      <c r="D41" s="2" t="s">
        <v>265</v>
      </c>
      <c r="E41" s="2" t="s">
        <v>266</v>
      </c>
      <c r="F41" s="2" t="s">
        <v>267</v>
      </c>
      <c r="G41" s="2" t="s">
        <v>40</v>
      </c>
      <c r="H41" s="2" t="s">
        <v>19</v>
      </c>
      <c r="I41" s="2" t="s">
        <v>20</v>
      </c>
      <c r="J41" s="2" t="s">
        <v>31</v>
      </c>
      <c r="K41" s="2" t="s">
        <v>22</v>
      </c>
      <c r="L41" s="2" t="s">
        <v>23</v>
      </c>
      <c r="M41" t="str">
        <f t="shared" si="4"/>
        <v>24.84</v>
      </c>
      <c r="N41" t="str">
        <f t="shared" si="5"/>
        <v>1430.74</v>
      </c>
      <c r="O41" t="str">
        <f t="shared" si="6"/>
        <v>13.40</v>
      </c>
      <c r="P41" t="str">
        <f t="shared" si="7"/>
        <v>286.75</v>
      </c>
      <c r="Q41" t="str">
        <f t="shared" si="8"/>
        <v>63.61</v>
      </c>
    </row>
    <row r="42" spans="1:17" x14ac:dyDescent="0.25">
      <c r="A42" s="2" t="s">
        <v>51</v>
      </c>
      <c r="B42" s="2" t="s">
        <v>52</v>
      </c>
      <c r="C42" s="2" t="s">
        <v>53</v>
      </c>
      <c r="D42" s="2" t="s">
        <v>54</v>
      </c>
      <c r="E42" s="2" t="s">
        <v>55</v>
      </c>
      <c r="F42" s="2" t="s">
        <v>56</v>
      </c>
      <c r="G42" s="2" t="s">
        <v>18</v>
      </c>
      <c r="H42" s="2" t="s">
        <v>19</v>
      </c>
      <c r="I42" s="2" t="s">
        <v>42</v>
      </c>
      <c r="J42" s="2" t="s">
        <v>21</v>
      </c>
      <c r="K42" s="2" t="s">
        <v>32</v>
      </c>
      <c r="L42" s="2" t="s">
        <v>33</v>
      </c>
      <c r="M42" t="str">
        <f t="shared" si="4"/>
        <v>113.99</v>
      </c>
      <c r="N42" t="str">
        <f t="shared" si="5"/>
        <v>950.55</v>
      </c>
      <c r="O42" t="str">
        <f t="shared" si="6"/>
        <v>23.09</v>
      </c>
      <c r="P42" t="str">
        <f t="shared" si="7"/>
        <v>921.66</v>
      </c>
      <c r="Q42" t="str">
        <f t="shared" si="8"/>
        <v>113.83</v>
      </c>
    </row>
    <row r="43" spans="1:17" x14ac:dyDescent="0.25">
      <c r="A43" s="2" t="s">
        <v>57</v>
      </c>
      <c r="B43" s="2" t="s">
        <v>58</v>
      </c>
      <c r="C43" s="2" t="s">
        <v>59</v>
      </c>
      <c r="D43" s="2" t="s">
        <v>60</v>
      </c>
      <c r="E43" s="2" t="s">
        <v>61</v>
      </c>
      <c r="F43" s="2" t="s">
        <v>62</v>
      </c>
      <c r="G43" s="2" t="s">
        <v>63</v>
      </c>
      <c r="H43" s="2" t="s">
        <v>49</v>
      </c>
      <c r="I43" s="2" t="s">
        <v>20</v>
      </c>
      <c r="J43" s="2" t="s">
        <v>21</v>
      </c>
      <c r="K43" s="2" t="s">
        <v>22</v>
      </c>
      <c r="L43" s="2" t="s">
        <v>23</v>
      </c>
      <c r="M43" t="str">
        <f t="shared" si="4"/>
        <v>18.50</v>
      </c>
      <c r="N43" t="str">
        <f t="shared" si="5"/>
        <v>1336.78</v>
      </c>
      <c r="O43" t="str">
        <f t="shared" si="6"/>
        <v>10.40</v>
      </c>
      <c r="P43" t="str">
        <f t="shared" si="7"/>
        <v>70.47</v>
      </c>
      <c r="Q43" t="str">
        <f t="shared" si="8"/>
        <v>141.45</v>
      </c>
    </row>
    <row r="44" spans="1:17" x14ac:dyDescent="0.25">
      <c r="A44" s="2" t="s">
        <v>64</v>
      </c>
      <c r="B44" s="2" t="s">
        <v>65</v>
      </c>
      <c r="C44" s="2" t="s">
        <v>66</v>
      </c>
      <c r="D44" s="2" t="s">
        <v>67</v>
      </c>
      <c r="E44" s="2" t="s">
        <v>68</v>
      </c>
      <c r="F44" s="2" t="s">
        <v>69</v>
      </c>
      <c r="G44" s="2" t="s">
        <v>40</v>
      </c>
      <c r="H44" s="2" t="s">
        <v>41</v>
      </c>
      <c r="I44" s="2" t="s">
        <v>20</v>
      </c>
      <c r="J44" s="2" t="s">
        <v>50</v>
      </c>
      <c r="K44" s="2" t="s">
        <v>22</v>
      </c>
      <c r="L44" s="2" t="s">
        <v>23</v>
      </c>
      <c r="M44" t="str">
        <f t="shared" si="4"/>
        <v>111.26</v>
      </c>
      <c r="N44" t="str">
        <f t="shared" si="5"/>
        <v>348.78</v>
      </c>
      <c r="O44" t="str">
        <f t="shared" si="6"/>
        <v>18.28</v>
      </c>
      <c r="P44" t="str">
        <f t="shared" si="7"/>
        <v>284.11</v>
      </c>
      <c r="Q44" t="str">
        <f t="shared" si="8"/>
        <v>225.50</v>
      </c>
    </row>
    <row r="45" spans="1:17" x14ac:dyDescent="0.25">
      <c r="A45" s="2" t="s">
        <v>70</v>
      </c>
      <c r="B45" s="2" t="s">
        <v>71</v>
      </c>
      <c r="C45" s="2" t="s">
        <v>72</v>
      </c>
      <c r="D45" s="2" t="s">
        <v>73</v>
      </c>
      <c r="E45" s="2" t="s">
        <v>74</v>
      </c>
      <c r="F45" s="2" t="s">
        <v>75</v>
      </c>
      <c r="G45" s="2" t="s">
        <v>40</v>
      </c>
      <c r="H45" s="2" t="s">
        <v>76</v>
      </c>
      <c r="I45" s="2" t="s">
        <v>20</v>
      </c>
      <c r="J45" s="2" t="s">
        <v>50</v>
      </c>
      <c r="K45" s="2" t="s">
        <v>22</v>
      </c>
      <c r="L45" s="2" t="s">
        <v>23</v>
      </c>
      <c r="M45" t="str">
        <f t="shared" si="4"/>
        <v>59.56</v>
      </c>
      <c r="N45" t="str">
        <f t="shared" si="5"/>
        <v>388.62</v>
      </c>
      <c r="O45" t="str">
        <f t="shared" si="6"/>
        <v>25.22</v>
      </c>
      <c r="P45" t="str">
        <f t="shared" si="7"/>
        <v>808.14</v>
      </c>
      <c r="Q45" t="str">
        <f t="shared" si="8"/>
        <v>15.82</v>
      </c>
    </row>
    <row r="46" spans="1:17" x14ac:dyDescent="0.25">
      <c r="A46" s="2" t="s">
        <v>77</v>
      </c>
      <c r="B46" s="2" t="s">
        <v>78</v>
      </c>
      <c r="C46" s="2" t="s">
        <v>79</v>
      </c>
      <c r="D46" s="2" t="s">
        <v>80</v>
      </c>
      <c r="E46" s="2" t="s">
        <v>81</v>
      </c>
      <c r="F46" s="2" t="s">
        <v>82</v>
      </c>
      <c r="G46" s="2" t="s">
        <v>40</v>
      </c>
      <c r="H46" s="2" t="s">
        <v>19</v>
      </c>
      <c r="I46" s="2" t="s">
        <v>20</v>
      </c>
      <c r="J46" s="2" t="s">
        <v>21</v>
      </c>
      <c r="K46" s="2" t="s">
        <v>22</v>
      </c>
      <c r="L46" s="2" t="s">
        <v>23</v>
      </c>
      <c r="M46" t="str">
        <f t="shared" si="4"/>
        <v>31.73</v>
      </c>
      <c r="N46" t="str">
        <f t="shared" si="5"/>
        <v>86.53</v>
      </c>
      <c r="O46" t="str">
        <f t="shared" si="6"/>
        <v>34.55</v>
      </c>
      <c r="P46" t="str">
        <f t="shared" si="7"/>
        <v>750.78</v>
      </c>
      <c r="Q46" t="str">
        <f t="shared" si="8"/>
        <v>79.47</v>
      </c>
    </row>
    <row r="47" spans="1:17" x14ac:dyDescent="0.25">
      <c r="A47" s="2" t="s">
        <v>83</v>
      </c>
      <c r="B47" s="2" t="s">
        <v>84</v>
      </c>
      <c r="C47" s="2" t="s">
        <v>85</v>
      </c>
      <c r="D47" s="2" t="s">
        <v>86</v>
      </c>
      <c r="E47" s="2" t="s">
        <v>87</v>
      </c>
      <c r="F47" s="2" t="s">
        <v>88</v>
      </c>
      <c r="G47" s="2" t="s">
        <v>18</v>
      </c>
      <c r="H47" s="2" t="s">
        <v>49</v>
      </c>
      <c r="I47" s="2" t="s">
        <v>42</v>
      </c>
      <c r="J47" s="2" t="s">
        <v>31</v>
      </c>
      <c r="K47" s="2" t="s">
        <v>22</v>
      </c>
      <c r="L47" s="2" t="s">
        <v>33</v>
      </c>
      <c r="M47" t="str">
        <f t="shared" si="4"/>
        <v>55.64</v>
      </c>
      <c r="N47" t="str">
        <f t="shared" si="5"/>
        <v>342.03</v>
      </c>
      <c r="O47" t="str">
        <f t="shared" si="6"/>
        <v>2.06</v>
      </c>
      <c r="P47" t="str">
        <f t="shared" si="7"/>
        <v>192.68</v>
      </c>
      <c r="Q47" t="str">
        <f t="shared" si="8"/>
        <v>215.44</v>
      </c>
    </row>
    <row r="48" spans="1:17" x14ac:dyDescent="0.25">
      <c r="A48" s="2" t="s">
        <v>89</v>
      </c>
      <c r="B48" s="2" t="s">
        <v>90</v>
      </c>
      <c r="C48" s="2" t="s">
        <v>91</v>
      </c>
      <c r="D48" s="2" t="s">
        <v>92</v>
      </c>
      <c r="E48" s="2" t="s">
        <v>93</v>
      </c>
      <c r="F48" s="2" t="s">
        <v>94</v>
      </c>
      <c r="G48" s="2" t="s">
        <v>63</v>
      </c>
      <c r="H48" s="2" t="s">
        <v>19</v>
      </c>
      <c r="I48" s="2" t="s">
        <v>30</v>
      </c>
      <c r="J48" s="2" t="s">
        <v>50</v>
      </c>
      <c r="K48" s="2" t="s">
        <v>32</v>
      </c>
      <c r="L48" s="2" t="s">
        <v>33</v>
      </c>
      <c r="M48" t="str">
        <f t="shared" si="4"/>
        <v>71.07</v>
      </c>
      <c r="N48" t="str">
        <f t="shared" si="5"/>
        <v>658.66</v>
      </c>
      <c r="O48" t="str">
        <f t="shared" si="6"/>
        <v>2.38</v>
      </c>
      <c r="P48" t="str">
        <f t="shared" si="7"/>
        <v>1164.43</v>
      </c>
      <c r="Q48" t="str">
        <f t="shared" si="8"/>
        <v>237.84</v>
      </c>
    </row>
    <row r="49" spans="1:17" x14ac:dyDescent="0.25">
      <c r="A49" s="2" t="s">
        <v>95</v>
      </c>
      <c r="B49" s="2" t="s">
        <v>96</v>
      </c>
      <c r="C49" s="2" t="s">
        <v>97</v>
      </c>
      <c r="D49" s="2" t="s">
        <v>98</v>
      </c>
      <c r="E49" s="2" t="s">
        <v>99</v>
      </c>
      <c r="F49" s="2" t="s">
        <v>100</v>
      </c>
      <c r="G49" s="2" t="s">
        <v>18</v>
      </c>
      <c r="H49" s="2" t="s">
        <v>76</v>
      </c>
      <c r="I49" s="2" t="s">
        <v>42</v>
      </c>
      <c r="J49" s="2" t="s">
        <v>21</v>
      </c>
      <c r="K49" s="2" t="s">
        <v>22</v>
      </c>
      <c r="L49" s="2" t="s">
        <v>33</v>
      </c>
      <c r="M49" t="str">
        <f t="shared" si="4"/>
        <v>70.79</v>
      </c>
      <c r="N49" t="str">
        <f t="shared" si="5"/>
        <v>530.89</v>
      </c>
      <c r="O49" t="str">
        <f t="shared" si="6"/>
        <v>73.97</v>
      </c>
      <c r="P49" t="str">
        <f t="shared" si="7"/>
        <v>1365.85</v>
      </c>
      <c r="Q49" t="str">
        <f t="shared" si="8"/>
        <v>73.85</v>
      </c>
    </row>
    <row r="50" spans="1:17" x14ac:dyDescent="0.25">
      <c r="A50" s="2" t="s">
        <v>101</v>
      </c>
      <c r="B50" s="2" t="s">
        <v>102</v>
      </c>
      <c r="C50" s="2" t="s">
        <v>103</v>
      </c>
      <c r="D50" s="2" t="s">
        <v>104</v>
      </c>
      <c r="E50" s="2" t="s">
        <v>105</v>
      </c>
      <c r="F50" s="2" t="s">
        <v>106</v>
      </c>
      <c r="G50" s="2" t="s">
        <v>18</v>
      </c>
      <c r="H50" s="2" t="s">
        <v>76</v>
      </c>
      <c r="I50" s="2" t="s">
        <v>30</v>
      </c>
      <c r="J50" s="2" t="s">
        <v>21</v>
      </c>
      <c r="K50" s="2" t="s">
        <v>32</v>
      </c>
      <c r="L50" s="2" t="s">
        <v>33</v>
      </c>
      <c r="M50" t="str">
        <f t="shared" si="4"/>
        <v>12.61</v>
      </c>
      <c r="N50" t="str">
        <f t="shared" si="5"/>
        <v>247.05</v>
      </c>
      <c r="O50" t="str">
        <f t="shared" si="6"/>
        <v>28.70</v>
      </c>
      <c r="P50" t="str">
        <f t="shared" si="7"/>
        <v>64.83</v>
      </c>
      <c r="Q50" t="str">
        <f t="shared" si="8"/>
        <v>19.67</v>
      </c>
    </row>
    <row r="51" spans="1:17" x14ac:dyDescent="0.25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s">
        <v>213</v>
      </c>
      <c r="G51" s="2" t="s">
        <v>18</v>
      </c>
      <c r="H51" s="2" t="s">
        <v>19</v>
      </c>
      <c r="I51" s="2" t="s">
        <v>20</v>
      </c>
      <c r="J51" s="2" t="s">
        <v>21</v>
      </c>
      <c r="K51" s="2" t="s">
        <v>32</v>
      </c>
      <c r="L51" s="2" t="s">
        <v>33</v>
      </c>
      <c r="M51" t="str">
        <f t="shared" si="4"/>
        <v>12.14</v>
      </c>
      <c r="N51" t="str">
        <f t="shared" si="5"/>
        <v>780.35</v>
      </c>
      <c r="O51" t="str">
        <f t="shared" si="6"/>
        <v>4.14</v>
      </c>
      <c r="P51" t="str">
        <f t="shared" si="7"/>
        <v>158.90</v>
      </c>
      <c r="Q51" t="str">
        <f t="shared" si="8"/>
        <v>45.39</v>
      </c>
    </row>
    <row r="52" spans="1:17" x14ac:dyDescent="0.25">
      <c r="A52" s="2" t="s">
        <v>214</v>
      </c>
      <c r="B52" s="2" t="s">
        <v>215</v>
      </c>
      <c r="C52" s="2" t="s">
        <v>216</v>
      </c>
      <c r="D52" s="2" t="s">
        <v>217</v>
      </c>
      <c r="E52" s="2" t="s">
        <v>218</v>
      </c>
      <c r="F52" s="2" t="s">
        <v>219</v>
      </c>
      <c r="G52" s="2" t="s">
        <v>40</v>
      </c>
      <c r="H52" s="2" t="s">
        <v>41</v>
      </c>
      <c r="I52" s="2" t="s">
        <v>42</v>
      </c>
      <c r="J52" s="2" t="s">
        <v>31</v>
      </c>
      <c r="K52" s="2" t="s">
        <v>32</v>
      </c>
      <c r="L52" s="2" t="s">
        <v>33</v>
      </c>
      <c r="M52" t="str">
        <f t="shared" si="4"/>
        <v>40.66</v>
      </c>
      <c r="N52" t="str">
        <f t="shared" si="5"/>
        <v>1903.89</v>
      </c>
      <c r="O52" t="str">
        <f t="shared" si="6"/>
        <v>37.22</v>
      </c>
      <c r="P52" t="str">
        <f t="shared" si="7"/>
        <v>900.12</v>
      </c>
      <c r="Q52" t="str">
        <f t="shared" si="8"/>
        <v>153.60</v>
      </c>
    </row>
    <row r="53" spans="1:17" x14ac:dyDescent="0.25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s">
        <v>225</v>
      </c>
      <c r="G53" s="2" t="s">
        <v>40</v>
      </c>
      <c r="H53" s="2" t="s">
        <v>49</v>
      </c>
      <c r="I53" s="2" t="s">
        <v>20</v>
      </c>
      <c r="J53" s="2" t="s">
        <v>31</v>
      </c>
      <c r="K53" s="2" t="s">
        <v>22</v>
      </c>
      <c r="L53" s="2" t="s">
        <v>23</v>
      </c>
      <c r="M53" t="str">
        <f t="shared" si="4"/>
        <v>34.68</v>
      </c>
      <c r="N53" t="str">
        <f t="shared" si="5"/>
        <v>1477.39</v>
      </c>
      <c r="O53" t="str">
        <f t="shared" si="6"/>
        <v>25.83</v>
      </c>
      <c r="P53" t="str">
        <f t="shared" si="7"/>
        <v>743.11</v>
      </c>
      <c r="Q53" t="str">
        <f t="shared" si="8"/>
        <v>19.97</v>
      </c>
    </row>
    <row r="54" spans="1:17" x14ac:dyDescent="0.25">
      <c r="A54" s="2" t="s">
        <v>226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s">
        <v>231</v>
      </c>
      <c r="G54" s="2" t="s">
        <v>40</v>
      </c>
      <c r="H54" s="2" t="s">
        <v>76</v>
      </c>
      <c r="I54" s="2" t="s">
        <v>20</v>
      </c>
      <c r="J54" s="2" t="s">
        <v>21</v>
      </c>
      <c r="K54" s="2" t="s">
        <v>32</v>
      </c>
      <c r="L54" s="2" t="s">
        <v>33</v>
      </c>
      <c r="M54" t="str">
        <f t="shared" si="4"/>
        <v>15.62</v>
      </c>
      <c r="N54" t="str">
        <f t="shared" si="5"/>
        <v>1217.38</v>
      </c>
      <c r="O54" t="str">
        <f t="shared" si="6"/>
        <v>9.96</v>
      </c>
      <c r="P54" t="str">
        <f t="shared" si="7"/>
        <v>308.81</v>
      </c>
      <c r="Q54" t="str">
        <f t="shared" si="8"/>
        <v>273.70</v>
      </c>
    </row>
    <row r="55" spans="1:17" x14ac:dyDescent="0.25">
      <c r="A55" s="2" t="s">
        <v>232</v>
      </c>
      <c r="B55" s="2" t="s">
        <v>233</v>
      </c>
      <c r="C55" s="2" t="s">
        <v>234</v>
      </c>
      <c r="D55" s="2" t="s">
        <v>235</v>
      </c>
      <c r="E55" s="2" t="s">
        <v>236</v>
      </c>
      <c r="F55" s="2" t="s">
        <v>237</v>
      </c>
      <c r="G55" s="2" t="s">
        <v>40</v>
      </c>
      <c r="H55" s="2" t="s">
        <v>41</v>
      </c>
      <c r="I55" s="2" t="s">
        <v>20</v>
      </c>
      <c r="J55" s="2" t="s">
        <v>21</v>
      </c>
      <c r="K55" s="2" t="s">
        <v>22</v>
      </c>
      <c r="L55" s="2" t="s">
        <v>23</v>
      </c>
      <c r="M55" t="str">
        <f t="shared" si="4"/>
        <v>4.51</v>
      </c>
      <c r="N55" t="str">
        <f t="shared" si="5"/>
        <v>354.24</v>
      </c>
      <c r="O55" t="str">
        <f t="shared" si="6"/>
        <v>2.74</v>
      </c>
      <c r="P55" t="str">
        <f t="shared" si="7"/>
        <v>92.20</v>
      </c>
      <c r="Q55" t="str">
        <f t="shared" si="8"/>
        <v>85.05</v>
      </c>
    </row>
    <row r="56" spans="1:17" x14ac:dyDescent="0.25">
      <c r="A56" s="2" t="s">
        <v>238</v>
      </c>
      <c r="B56" s="2" t="s">
        <v>239</v>
      </c>
      <c r="C56" s="2" t="s">
        <v>240</v>
      </c>
      <c r="D56" s="2" t="s">
        <v>241</v>
      </c>
      <c r="E56" s="2" t="s">
        <v>242</v>
      </c>
      <c r="F56" s="2" t="s">
        <v>243</v>
      </c>
      <c r="G56" s="2" t="s">
        <v>40</v>
      </c>
      <c r="H56" s="2" t="s">
        <v>49</v>
      </c>
      <c r="I56" s="2" t="s">
        <v>20</v>
      </c>
      <c r="J56" s="2" t="s">
        <v>21</v>
      </c>
      <c r="K56" s="2" t="s">
        <v>32</v>
      </c>
      <c r="L56" s="2" t="s">
        <v>23</v>
      </c>
      <c r="M56" t="str">
        <f t="shared" si="4"/>
        <v>4.90</v>
      </c>
      <c r="N56" t="str">
        <f t="shared" si="5"/>
        <v>354.19</v>
      </c>
      <c r="O56" t="str">
        <f t="shared" si="6"/>
        <v>2.75</v>
      </c>
      <c r="P56" t="str">
        <f t="shared" si="7"/>
        <v>119.57</v>
      </c>
      <c r="Q56" t="str">
        <f t="shared" si="8"/>
        <v>202.13</v>
      </c>
    </row>
    <row r="57" spans="1:17" x14ac:dyDescent="0.25">
      <c r="A57" s="2" t="s">
        <v>244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s">
        <v>249</v>
      </c>
      <c r="G57" s="2" t="s">
        <v>40</v>
      </c>
      <c r="H57" s="2" t="s">
        <v>41</v>
      </c>
      <c r="I57" s="2" t="s">
        <v>30</v>
      </c>
      <c r="J57" s="2" t="s">
        <v>31</v>
      </c>
      <c r="K57" s="2" t="s">
        <v>22</v>
      </c>
      <c r="L57" s="2" t="s">
        <v>33</v>
      </c>
      <c r="M57" t="str">
        <f t="shared" si="4"/>
        <v>3.13</v>
      </c>
      <c r="N57" t="str">
        <f t="shared" si="5"/>
        <v>163.26</v>
      </c>
      <c r="O57" t="str">
        <f t="shared" si="6"/>
        <v>1.56</v>
      </c>
      <c r="P57" t="str">
        <f t="shared" si="7"/>
        <v>40.58</v>
      </c>
      <c r="Q57" t="str">
        <f t="shared" si="8"/>
        <v>100.40</v>
      </c>
    </row>
    <row r="58" spans="1:17" x14ac:dyDescent="0.25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s">
        <v>255</v>
      </c>
      <c r="G58" s="2" t="s">
        <v>18</v>
      </c>
      <c r="H58" s="2" t="s">
        <v>49</v>
      </c>
      <c r="I58" s="2" t="s">
        <v>20</v>
      </c>
      <c r="J58" s="2" t="s">
        <v>21</v>
      </c>
      <c r="K58" s="2" t="s">
        <v>32</v>
      </c>
      <c r="L58" s="2" t="s">
        <v>33</v>
      </c>
      <c r="M58" t="str">
        <f t="shared" si="4"/>
        <v>39.61</v>
      </c>
      <c r="N58" t="str">
        <f t="shared" si="5"/>
        <v>1739.04</v>
      </c>
      <c r="O58" t="str">
        <f t="shared" si="6"/>
        <v>22.38</v>
      </c>
      <c r="P58" t="str">
        <f t="shared" si="7"/>
        <v>792.99</v>
      </c>
      <c r="Q58" t="str">
        <f t="shared" si="8"/>
        <v>160.82</v>
      </c>
    </row>
    <row r="59" spans="1:17" x14ac:dyDescent="0.25">
      <c r="A59" s="2" t="s">
        <v>256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s">
        <v>261</v>
      </c>
      <c r="G59" s="2" t="s">
        <v>18</v>
      </c>
      <c r="H59" s="2" t="s">
        <v>76</v>
      </c>
      <c r="I59" s="2" t="s">
        <v>20</v>
      </c>
      <c r="J59" s="2" t="s">
        <v>21</v>
      </c>
      <c r="K59" s="2" t="s">
        <v>32</v>
      </c>
      <c r="L59" s="2" t="s">
        <v>23</v>
      </c>
      <c r="M59" t="str">
        <f t="shared" si="4"/>
        <v>18.14</v>
      </c>
      <c r="N59" t="str">
        <f t="shared" si="5"/>
        <v>1222.17</v>
      </c>
      <c r="O59" t="str">
        <f t="shared" si="6"/>
        <v>14.03</v>
      </c>
      <c r="P59" t="str">
        <f t="shared" si="7"/>
        <v>529.93</v>
      </c>
      <c r="Q59" t="str">
        <f t="shared" si="8"/>
        <v>168.55</v>
      </c>
    </row>
    <row r="60" spans="1:17" x14ac:dyDescent="0.25">
      <c r="A60" s="2" t="s">
        <v>262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s">
        <v>267</v>
      </c>
      <c r="G60" s="2" t="s">
        <v>40</v>
      </c>
      <c r="H60" s="2" t="s">
        <v>19</v>
      </c>
      <c r="I60" s="2" t="s">
        <v>20</v>
      </c>
      <c r="J60" s="2" t="s">
        <v>31</v>
      </c>
      <c r="K60" s="2" t="s">
        <v>22</v>
      </c>
      <c r="L60" s="2" t="s">
        <v>23</v>
      </c>
      <c r="M60" t="str">
        <f t="shared" si="4"/>
        <v>24.84</v>
      </c>
      <c r="N60" t="str">
        <f t="shared" si="5"/>
        <v>1430.74</v>
      </c>
      <c r="O60" t="str">
        <f t="shared" si="6"/>
        <v>13.40</v>
      </c>
      <c r="P60" t="str">
        <f t="shared" si="7"/>
        <v>286.75</v>
      </c>
      <c r="Q60" t="str">
        <f t="shared" si="8"/>
        <v>63.61</v>
      </c>
    </row>
    <row r="61" spans="1:17" x14ac:dyDescent="0.25">
      <c r="A61" s="2" t="s">
        <v>226</v>
      </c>
      <c r="B61" s="2" t="s">
        <v>227</v>
      </c>
      <c r="C61" s="2" t="s">
        <v>228</v>
      </c>
      <c r="D61" s="2" t="s">
        <v>229</v>
      </c>
      <c r="E61" s="2" t="s">
        <v>230</v>
      </c>
      <c r="F61" s="2" t="s">
        <v>231</v>
      </c>
      <c r="G61" s="2" t="s">
        <v>40</v>
      </c>
      <c r="H61" s="2" t="s">
        <v>76</v>
      </c>
      <c r="I61" s="2" t="s">
        <v>20</v>
      </c>
      <c r="J61" s="2" t="s">
        <v>21</v>
      </c>
      <c r="K61" s="2" t="s">
        <v>32</v>
      </c>
      <c r="L61" s="2" t="s">
        <v>33</v>
      </c>
      <c r="M61" t="str">
        <f t="shared" si="4"/>
        <v>15.62</v>
      </c>
      <c r="N61" t="str">
        <f t="shared" si="5"/>
        <v>1217.38</v>
      </c>
      <c r="O61" t="str">
        <f t="shared" si="6"/>
        <v>9.96</v>
      </c>
      <c r="P61" t="str">
        <f t="shared" si="7"/>
        <v>308.81</v>
      </c>
      <c r="Q61" t="str">
        <f t="shared" si="8"/>
        <v>273.70</v>
      </c>
    </row>
    <row r="62" spans="1:17" x14ac:dyDescent="0.25">
      <c r="A62" s="2" t="s">
        <v>232</v>
      </c>
      <c r="B62" s="2" t="s">
        <v>233</v>
      </c>
      <c r="C62" s="2" t="s">
        <v>234</v>
      </c>
      <c r="D62" s="2" t="s">
        <v>235</v>
      </c>
      <c r="E62" s="2" t="s">
        <v>236</v>
      </c>
      <c r="F62" s="2" t="s">
        <v>237</v>
      </c>
      <c r="G62" s="2" t="s">
        <v>40</v>
      </c>
      <c r="H62" s="2" t="s">
        <v>41</v>
      </c>
      <c r="I62" s="2" t="s">
        <v>20</v>
      </c>
      <c r="J62" s="2" t="s">
        <v>21</v>
      </c>
      <c r="K62" s="2" t="s">
        <v>22</v>
      </c>
      <c r="L62" s="2" t="s">
        <v>23</v>
      </c>
      <c r="M62" t="str">
        <f t="shared" si="4"/>
        <v>4.51</v>
      </c>
      <c r="N62" t="str">
        <f t="shared" si="5"/>
        <v>354.24</v>
      </c>
      <c r="O62" t="str">
        <f t="shared" si="6"/>
        <v>2.74</v>
      </c>
      <c r="P62" t="str">
        <f t="shared" si="7"/>
        <v>92.20</v>
      </c>
      <c r="Q62" t="str">
        <f t="shared" si="8"/>
        <v>85.05</v>
      </c>
    </row>
    <row r="63" spans="1:17" x14ac:dyDescent="0.25">
      <c r="A63" s="2" t="s">
        <v>238</v>
      </c>
      <c r="B63" s="2" t="s">
        <v>239</v>
      </c>
      <c r="C63" s="2" t="s">
        <v>240</v>
      </c>
      <c r="D63" s="2" t="s">
        <v>241</v>
      </c>
      <c r="E63" s="2" t="s">
        <v>242</v>
      </c>
      <c r="F63" s="2" t="s">
        <v>243</v>
      </c>
      <c r="G63" s="2" t="s">
        <v>40</v>
      </c>
      <c r="H63" s="2" t="s">
        <v>49</v>
      </c>
      <c r="I63" s="2" t="s">
        <v>20</v>
      </c>
      <c r="J63" s="2" t="s">
        <v>21</v>
      </c>
      <c r="K63" s="2" t="s">
        <v>32</v>
      </c>
      <c r="L63" s="2" t="s">
        <v>23</v>
      </c>
      <c r="M63" t="str">
        <f t="shared" si="4"/>
        <v>4.90</v>
      </c>
      <c r="N63" t="str">
        <f t="shared" si="5"/>
        <v>354.19</v>
      </c>
      <c r="O63" t="str">
        <f t="shared" si="6"/>
        <v>2.75</v>
      </c>
      <c r="P63" t="str">
        <f t="shared" si="7"/>
        <v>119.57</v>
      </c>
      <c r="Q63" t="str">
        <f t="shared" si="8"/>
        <v>202.13</v>
      </c>
    </row>
    <row r="64" spans="1:17" x14ac:dyDescent="0.25">
      <c r="A64" s="2" t="s">
        <v>244</v>
      </c>
      <c r="B64" s="2" t="s">
        <v>245</v>
      </c>
      <c r="C64" s="2" t="s">
        <v>246</v>
      </c>
      <c r="D64" s="2" t="s">
        <v>247</v>
      </c>
      <c r="E64" s="2" t="s">
        <v>248</v>
      </c>
      <c r="F64" s="2" t="s">
        <v>249</v>
      </c>
      <c r="G64" s="2" t="s">
        <v>40</v>
      </c>
      <c r="H64" s="2" t="s">
        <v>41</v>
      </c>
      <c r="I64" s="2" t="s">
        <v>30</v>
      </c>
      <c r="J64" s="2" t="s">
        <v>31</v>
      </c>
      <c r="K64" s="2" t="s">
        <v>22</v>
      </c>
      <c r="L64" s="2" t="s">
        <v>33</v>
      </c>
      <c r="M64" t="str">
        <f t="shared" si="4"/>
        <v>3.13</v>
      </c>
      <c r="N64" t="str">
        <f t="shared" si="5"/>
        <v>163.26</v>
      </c>
      <c r="O64" t="str">
        <f t="shared" si="6"/>
        <v>1.56</v>
      </c>
      <c r="P64" t="str">
        <f t="shared" si="7"/>
        <v>40.58</v>
      </c>
      <c r="Q64" t="str">
        <f t="shared" si="8"/>
        <v>100.40</v>
      </c>
    </row>
    <row r="65" spans="1:17" x14ac:dyDescent="0.25">
      <c r="A65" s="2" t="s">
        <v>250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s">
        <v>255</v>
      </c>
      <c r="G65" s="2" t="s">
        <v>18</v>
      </c>
      <c r="H65" s="2" t="s">
        <v>49</v>
      </c>
      <c r="I65" s="2" t="s">
        <v>20</v>
      </c>
      <c r="J65" s="2" t="s">
        <v>21</v>
      </c>
      <c r="K65" s="2" t="s">
        <v>32</v>
      </c>
      <c r="L65" s="2" t="s">
        <v>33</v>
      </c>
      <c r="M65" t="str">
        <f t="shared" si="4"/>
        <v>39.61</v>
      </c>
      <c r="N65" t="str">
        <f t="shared" si="5"/>
        <v>1739.04</v>
      </c>
      <c r="O65" t="str">
        <f t="shared" si="6"/>
        <v>22.38</v>
      </c>
      <c r="P65" t="str">
        <f t="shared" si="7"/>
        <v>792.99</v>
      </c>
      <c r="Q65" t="str">
        <f t="shared" si="8"/>
        <v>160.82</v>
      </c>
    </row>
    <row r="66" spans="1:17" x14ac:dyDescent="0.25">
      <c r="A66" s="2" t="s">
        <v>256</v>
      </c>
      <c r="B66" s="2" t="s">
        <v>257</v>
      </c>
      <c r="C66" s="2" t="s">
        <v>258</v>
      </c>
      <c r="D66" s="2" t="s">
        <v>259</v>
      </c>
      <c r="E66" s="2" t="s">
        <v>260</v>
      </c>
      <c r="F66" s="2" t="s">
        <v>261</v>
      </c>
      <c r="G66" s="2" t="s">
        <v>18</v>
      </c>
      <c r="H66" s="2" t="s">
        <v>76</v>
      </c>
      <c r="I66" s="2" t="s">
        <v>20</v>
      </c>
      <c r="J66" s="2" t="s">
        <v>21</v>
      </c>
      <c r="K66" s="2" t="s">
        <v>32</v>
      </c>
      <c r="L66" s="2" t="s">
        <v>23</v>
      </c>
      <c r="M66" t="str">
        <f t="shared" si="4"/>
        <v>18.14</v>
      </c>
      <c r="N66" t="str">
        <f t="shared" si="5"/>
        <v>1222.17</v>
      </c>
      <c r="O66" t="str">
        <f t="shared" si="6"/>
        <v>14.03</v>
      </c>
      <c r="P66" t="str">
        <f t="shared" si="7"/>
        <v>529.93</v>
      </c>
      <c r="Q66" t="str">
        <f t="shared" si="8"/>
        <v>168.55</v>
      </c>
    </row>
    <row r="67" spans="1:17" x14ac:dyDescent="0.25">
      <c r="A67" s="2" t="s">
        <v>262</v>
      </c>
      <c r="B67" s="2" t="s">
        <v>263</v>
      </c>
      <c r="C67" s="2" t="s">
        <v>264</v>
      </c>
      <c r="D67" s="2" t="s">
        <v>265</v>
      </c>
      <c r="E67" s="2" t="s">
        <v>266</v>
      </c>
      <c r="F67" s="2" t="s">
        <v>267</v>
      </c>
      <c r="G67" s="2" t="s">
        <v>40</v>
      </c>
      <c r="H67" s="2" t="s">
        <v>19</v>
      </c>
      <c r="I67" s="2" t="s">
        <v>20</v>
      </c>
      <c r="J67" s="2" t="s">
        <v>31</v>
      </c>
      <c r="K67" s="2" t="s">
        <v>22</v>
      </c>
      <c r="L67" s="2" t="s">
        <v>23</v>
      </c>
      <c r="M67" t="str">
        <f t="shared" si="4"/>
        <v>24.84</v>
      </c>
      <c r="N67" t="str">
        <f t="shared" si="5"/>
        <v>1430.74</v>
      </c>
      <c r="O67" t="str">
        <f t="shared" si="6"/>
        <v>13.40</v>
      </c>
      <c r="P67" t="str">
        <f t="shared" si="7"/>
        <v>286.75</v>
      </c>
      <c r="Q67" t="str">
        <f t="shared" si="8"/>
        <v>63.61</v>
      </c>
    </row>
    <row r="68" spans="1:17" x14ac:dyDescent="0.25">
      <c r="A68" s="2" t="s">
        <v>107</v>
      </c>
      <c r="B68" s="2" t="s">
        <v>108</v>
      </c>
      <c r="C68" s="2" t="s">
        <v>109</v>
      </c>
      <c r="D68" s="2" t="s">
        <v>110</v>
      </c>
      <c r="E68" s="2" t="s">
        <v>111</v>
      </c>
      <c r="F68" s="2" t="s">
        <v>112</v>
      </c>
      <c r="G68" s="2" t="s">
        <v>63</v>
      </c>
      <c r="H68" s="2" t="s">
        <v>49</v>
      </c>
      <c r="I68" s="2" t="s">
        <v>20</v>
      </c>
      <c r="J68" s="2" t="s">
        <v>21</v>
      </c>
      <c r="K68" s="2" t="s">
        <v>32</v>
      </c>
      <c r="L68" s="2" t="s">
        <v>33</v>
      </c>
      <c r="M68" t="str">
        <f t="shared" ref="M68:M131" si="9">LEFT(A68,(LEN(A68)-LEN(RIGHT(A68,6))))</f>
        <v>17.22</v>
      </c>
      <c r="N68" t="str">
        <f t="shared" si="5"/>
        <v>1240.65</v>
      </c>
      <c r="O68" t="str">
        <f t="shared" si="6"/>
        <v>86.44</v>
      </c>
      <c r="P68" t="str">
        <f t="shared" si="7"/>
        <v>1456.18</v>
      </c>
      <c r="Q68" t="str">
        <f t="shared" si="8"/>
        <v>142.03</v>
      </c>
    </row>
    <row r="69" spans="1:17" x14ac:dyDescent="0.25">
      <c r="A69" s="2" t="s">
        <v>113</v>
      </c>
      <c r="B69" s="2" t="s">
        <v>114</v>
      </c>
      <c r="C69" s="2" t="s">
        <v>115</v>
      </c>
      <c r="D69" s="2" t="s">
        <v>116</v>
      </c>
      <c r="E69" s="2" t="s">
        <v>117</v>
      </c>
      <c r="F69" s="2" t="s">
        <v>118</v>
      </c>
      <c r="G69" s="2" t="s">
        <v>63</v>
      </c>
      <c r="H69" s="2" t="s">
        <v>41</v>
      </c>
      <c r="I69" s="2" t="s">
        <v>20</v>
      </c>
      <c r="J69" s="2" t="s">
        <v>31</v>
      </c>
      <c r="K69" s="2" t="s">
        <v>32</v>
      </c>
      <c r="L69" s="2" t="s">
        <v>33</v>
      </c>
      <c r="M69" t="str">
        <f t="shared" si="9"/>
        <v>66.19</v>
      </c>
      <c r="N69" t="str">
        <f t="shared" si="5"/>
        <v>720.39</v>
      </c>
      <c r="O69" t="str">
        <f t="shared" si="6"/>
        <v>37.80</v>
      </c>
      <c r="P69" t="str">
        <f t="shared" si="7"/>
        <v>1097.66</v>
      </c>
      <c r="Q69" t="str">
        <f t="shared" si="8"/>
        <v>37.53</v>
      </c>
    </row>
    <row r="70" spans="1:17" x14ac:dyDescent="0.25">
      <c r="A70" s="2" t="s">
        <v>119</v>
      </c>
      <c r="B70" s="2" t="s">
        <v>120</v>
      </c>
      <c r="C70" s="2" t="s">
        <v>121</v>
      </c>
      <c r="D70" s="2" t="s">
        <v>122</v>
      </c>
      <c r="E70" s="2" t="s">
        <v>123</v>
      </c>
      <c r="F70" s="2" t="s">
        <v>124</v>
      </c>
      <c r="G70" s="2" t="s">
        <v>40</v>
      </c>
      <c r="H70" s="2" t="s">
        <v>76</v>
      </c>
      <c r="I70" s="2" t="s">
        <v>42</v>
      </c>
      <c r="J70" s="2" t="s">
        <v>50</v>
      </c>
      <c r="K70" s="2" t="s">
        <v>32</v>
      </c>
      <c r="L70" s="2" t="s">
        <v>33</v>
      </c>
      <c r="M70" t="str">
        <f t="shared" si="9"/>
        <v>22.47</v>
      </c>
      <c r="N70" t="str">
        <f t="shared" si="5"/>
        <v>1959.24</v>
      </c>
      <c r="O70" t="str">
        <f t="shared" si="6"/>
        <v>19.19</v>
      </c>
      <c r="P70" t="str">
        <f t="shared" si="7"/>
        <v>1465.60</v>
      </c>
      <c r="Q70" t="str">
        <f t="shared" si="8"/>
        <v>126.44</v>
      </c>
    </row>
    <row r="71" spans="1:17" x14ac:dyDescent="0.25">
      <c r="A71" s="2" t="s">
        <v>125</v>
      </c>
      <c r="B71" s="2" t="s">
        <v>126</v>
      </c>
      <c r="C71" s="2" t="s">
        <v>127</v>
      </c>
      <c r="D71" s="2" t="s">
        <v>128</v>
      </c>
      <c r="E71" s="2" t="s">
        <v>129</v>
      </c>
      <c r="F71" s="2" t="s">
        <v>130</v>
      </c>
      <c r="G71" s="2" t="s">
        <v>63</v>
      </c>
      <c r="H71" s="2" t="s">
        <v>41</v>
      </c>
      <c r="I71" s="2" t="s">
        <v>20</v>
      </c>
      <c r="J71" s="2" t="s">
        <v>21</v>
      </c>
      <c r="K71" s="2" t="s">
        <v>22</v>
      </c>
      <c r="L71" s="2" t="s">
        <v>23</v>
      </c>
      <c r="M71" t="str">
        <f t="shared" si="9"/>
        <v>56.32</v>
      </c>
      <c r="N71" t="str">
        <f t="shared" si="5"/>
        <v>1328.28</v>
      </c>
      <c r="O71" t="str">
        <f t="shared" si="6"/>
        <v>92.45</v>
      </c>
      <c r="P71" t="str">
        <f t="shared" si="7"/>
        <v>1588.47</v>
      </c>
      <c r="Q71" t="str">
        <f t="shared" si="8"/>
        <v>131.78</v>
      </c>
    </row>
    <row r="72" spans="1:17" x14ac:dyDescent="0.25">
      <c r="A72" s="2" t="s">
        <v>131</v>
      </c>
      <c r="B72" s="2" t="s">
        <v>132</v>
      </c>
      <c r="C72" s="2" t="s">
        <v>133</v>
      </c>
      <c r="D72" s="2" t="s">
        <v>134</v>
      </c>
      <c r="E72" s="2" t="s">
        <v>135</v>
      </c>
      <c r="F72" s="2" t="s">
        <v>136</v>
      </c>
      <c r="G72" s="2" t="s">
        <v>40</v>
      </c>
      <c r="H72" s="2" t="s">
        <v>49</v>
      </c>
      <c r="I72" s="2" t="s">
        <v>20</v>
      </c>
      <c r="J72" s="2" t="s">
        <v>31</v>
      </c>
      <c r="K72" s="2" t="s">
        <v>22</v>
      </c>
      <c r="L72" s="2" t="s">
        <v>23</v>
      </c>
      <c r="M72" t="str">
        <f t="shared" si="9"/>
        <v>69.64</v>
      </c>
      <c r="N72" t="str">
        <f t="shared" si="5"/>
        <v>1786.82</v>
      </c>
      <c r="O72" t="str">
        <f t="shared" si="6"/>
        <v>14.77</v>
      </c>
      <c r="P72" t="str">
        <f t="shared" si="7"/>
        <v>493.68</v>
      </c>
      <c r="Q72" t="str">
        <f t="shared" si="8"/>
        <v>101.25</v>
      </c>
    </row>
    <row r="73" spans="1:17" x14ac:dyDescent="0.25">
      <c r="A73" s="2" t="s">
        <v>137</v>
      </c>
      <c r="B73" s="2" t="s">
        <v>138</v>
      </c>
      <c r="C73" s="2" t="s">
        <v>139</v>
      </c>
      <c r="D73" s="2" t="s">
        <v>140</v>
      </c>
      <c r="E73" s="2" t="s">
        <v>141</v>
      </c>
      <c r="F73" s="2" t="s">
        <v>142</v>
      </c>
      <c r="G73" s="2" t="s">
        <v>63</v>
      </c>
      <c r="H73" s="2" t="s">
        <v>19</v>
      </c>
      <c r="I73" s="2" t="s">
        <v>20</v>
      </c>
      <c r="J73" s="2" t="s">
        <v>50</v>
      </c>
      <c r="K73" s="2" t="s">
        <v>22</v>
      </c>
      <c r="L73" s="2" t="s">
        <v>23</v>
      </c>
      <c r="M73" t="str">
        <f t="shared" si="9"/>
        <v>29.29</v>
      </c>
      <c r="N73" t="str">
        <f t="shared" si="5"/>
        <v>1900.56</v>
      </c>
      <c r="O73" t="str">
        <f t="shared" si="6"/>
        <v>19.14</v>
      </c>
      <c r="P73" t="str">
        <f t="shared" si="7"/>
        <v>680.80</v>
      </c>
      <c r="Q73" t="str">
        <f t="shared" si="8"/>
        <v>194.22</v>
      </c>
    </row>
    <row r="74" spans="1:17" x14ac:dyDescent="0.25">
      <c r="A74" s="2" t="s">
        <v>143</v>
      </c>
      <c r="B74" s="2" t="s">
        <v>144</v>
      </c>
      <c r="C74" s="2" t="s">
        <v>145</v>
      </c>
      <c r="D74" s="2" t="s">
        <v>146</v>
      </c>
      <c r="E74" s="2" t="s">
        <v>147</v>
      </c>
      <c r="F74" s="2" t="s">
        <v>82</v>
      </c>
      <c r="G74" s="2" t="s">
        <v>18</v>
      </c>
      <c r="H74" s="2" t="s">
        <v>76</v>
      </c>
      <c r="I74" s="2" t="s">
        <v>30</v>
      </c>
      <c r="J74" s="2" t="s">
        <v>21</v>
      </c>
      <c r="K74" s="2" t="s">
        <v>22</v>
      </c>
      <c r="L74" s="2" t="s">
        <v>23</v>
      </c>
      <c r="M74" t="str">
        <f t="shared" si="9"/>
        <v>118.72</v>
      </c>
      <c r="N74" t="str">
        <f t="shared" si="5"/>
        <v>106.61</v>
      </c>
      <c r="O74" t="str">
        <f t="shared" si="6"/>
        <v>6.26</v>
      </c>
      <c r="P74" t="str">
        <f t="shared" si="7"/>
        <v>1456.91</v>
      </c>
      <c r="Q74" t="str">
        <f t="shared" si="8"/>
        <v>79.47</v>
      </c>
    </row>
    <row r="75" spans="1:17" x14ac:dyDescent="0.25">
      <c r="A75" s="2" t="s">
        <v>148</v>
      </c>
      <c r="B75" s="2" t="s">
        <v>149</v>
      </c>
      <c r="C75" s="2" t="s">
        <v>150</v>
      </c>
      <c r="D75" s="2" t="s">
        <v>151</v>
      </c>
      <c r="E75" s="2" t="s">
        <v>152</v>
      </c>
      <c r="F75" s="2" t="s">
        <v>153</v>
      </c>
      <c r="G75" s="2" t="s">
        <v>63</v>
      </c>
      <c r="H75" s="2" t="s">
        <v>49</v>
      </c>
      <c r="I75" s="2" t="s">
        <v>30</v>
      </c>
      <c r="J75" s="2" t="s">
        <v>50</v>
      </c>
      <c r="K75" s="2" t="s">
        <v>32</v>
      </c>
      <c r="L75" s="2" t="s">
        <v>33</v>
      </c>
      <c r="M75" t="str">
        <f t="shared" si="9"/>
        <v>72.5</v>
      </c>
      <c r="N75" t="str">
        <f t="shared" si="5"/>
        <v>850</v>
      </c>
      <c r="O75" t="str">
        <f t="shared" si="6"/>
        <v>12.5</v>
      </c>
      <c r="P75" t="str">
        <f t="shared" si="7"/>
        <v>1200</v>
      </c>
      <c r="Q75" t="str">
        <f t="shared" si="8"/>
        <v>145</v>
      </c>
    </row>
    <row r="76" spans="1:17" x14ac:dyDescent="0.25">
      <c r="A76" s="2" t="s">
        <v>154</v>
      </c>
      <c r="B76" s="2" t="s">
        <v>155</v>
      </c>
      <c r="C76" s="2" t="s">
        <v>156</v>
      </c>
      <c r="D76" s="2" t="s">
        <v>157</v>
      </c>
      <c r="E76" s="2" t="s">
        <v>158</v>
      </c>
      <c r="F76" s="2" t="s">
        <v>159</v>
      </c>
      <c r="G76" s="2" t="s">
        <v>18</v>
      </c>
      <c r="H76" s="2" t="s">
        <v>76</v>
      </c>
      <c r="I76" s="2" t="s">
        <v>20</v>
      </c>
      <c r="J76" s="2" t="s">
        <v>21</v>
      </c>
      <c r="K76" s="2" t="s">
        <v>22</v>
      </c>
      <c r="L76" s="2" t="s">
        <v>23</v>
      </c>
      <c r="M76" t="str">
        <f t="shared" si="9"/>
        <v>48.3</v>
      </c>
      <c r="N76" t="str">
        <f t="shared" ref="N76:N139" si="10">LEFT(C76,(LEN(C76)-LEN(RIGHT(C76,3))))</f>
        <v>600</v>
      </c>
      <c r="O76" t="str">
        <f t="shared" ref="O76:O139" si="11">LEFT(D76,(LEN(D76)-LEN(RIGHT(D76,3))))</f>
        <v>8.3</v>
      </c>
      <c r="P76" t="str">
        <f t="shared" ref="P76:P139" si="12">LEFT(E76,(LEN(E76)-LEN(RIGHT(E76,3))))</f>
        <v>950</v>
      </c>
      <c r="Q76" t="str">
        <f t="shared" ref="Q76:Q139" si="13">LEFT(F76,(LEN(F76)-LEN(RIGHT(F76,8))))</f>
        <v>110</v>
      </c>
    </row>
    <row r="77" spans="1:17" x14ac:dyDescent="0.25">
      <c r="A77" s="2" t="s">
        <v>160</v>
      </c>
      <c r="B77" s="2" t="s">
        <v>161</v>
      </c>
      <c r="C77" s="2" t="s">
        <v>162</v>
      </c>
      <c r="D77" s="2" t="s">
        <v>163</v>
      </c>
      <c r="E77" s="2" t="s">
        <v>164</v>
      </c>
      <c r="F77" s="2" t="s">
        <v>165</v>
      </c>
      <c r="G77" s="2" t="s">
        <v>40</v>
      </c>
      <c r="H77" s="2" t="s">
        <v>19</v>
      </c>
      <c r="I77" s="2" t="s">
        <v>42</v>
      </c>
      <c r="J77" s="2" t="s">
        <v>31</v>
      </c>
      <c r="K77" s="2" t="s">
        <v>32</v>
      </c>
      <c r="L77" s="2" t="s">
        <v>33</v>
      </c>
      <c r="M77" t="str">
        <f t="shared" si="9"/>
        <v>96.1</v>
      </c>
      <c r="N77" t="str">
        <f t="shared" si="10"/>
        <v>1300</v>
      </c>
      <c r="O77" t="str">
        <f t="shared" si="11"/>
        <v>15.7</v>
      </c>
      <c r="P77" t="str">
        <f t="shared" si="12"/>
        <v>1800</v>
      </c>
      <c r="Q77" t="str">
        <f t="shared" si="13"/>
        <v>200</v>
      </c>
    </row>
    <row r="78" spans="1:17" x14ac:dyDescent="0.25">
      <c r="A78" s="2" t="s">
        <v>166</v>
      </c>
      <c r="B78" s="2" t="s">
        <v>167</v>
      </c>
      <c r="C78" s="2" t="s">
        <v>168</v>
      </c>
      <c r="D78" s="2" t="s">
        <v>169</v>
      </c>
      <c r="E78" s="2" t="s">
        <v>170</v>
      </c>
      <c r="F78" s="2" t="s">
        <v>171</v>
      </c>
      <c r="G78" s="2" t="s">
        <v>63</v>
      </c>
      <c r="H78" s="2" t="s">
        <v>41</v>
      </c>
      <c r="I78" s="2" t="s">
        <v>30</v>
      </c>
      <c r="J78" s="2" t="s">
        <v>50</v>
      </c>
      <c r="K78" s="2" t="s">
        <v>32</v>
      </c>
      <c r="L78" s="2" t="s">
        <v>23</v>
      </c>
      <c r="M78" t="str">
        <f t="shared" si="9"/>
        <v>24.7</v>
      </c>
      <c r="N78" t="str">
        <f t="shared" si="10"/>
        <v>300</v>
      </c>
      <c r="O78" t="str">
        <f t="shared" si="11"/>
        <v>5.4</v>
      </c>
      <c r="P78" t="str">
        <f t="shared" si="12"/>
        <v>500</v>
      </c>
      <c r="Q78" t="str">
        <f t="shared" si="13"/>
        <v>75</v>
      </c>
    </row>
    <row r="79" spans="1:17" x14ac:dyDescent="0.25">
      <c r="A79" s="2" t="s">
        <v>172</v>
      </c>
      <c r="B79" s="2" t="s">
        <v>173</v>
      </c>
      <c r="C79" s="2" t="s">
        <v>174</v>
      </c>
      <c r="D79" s="2" t="s">
        <v>175</v>
      </c>
      <c r="E79" s="2" t="s">
        <v>176</v>
      </c>
      <c r="F79" s="2" t="s">
        <v>177</v>
      </c>
      <c r="G79" s="2" t="s">
        <v>18</v>
      </c>
      <c r="H79" s="2" t="s">
        <v>49</v>
      </c>
      <c r="I79" s="2" t="s">
        <v>42</v>
      </c>
      <c r="J79" s="2" t="s">
        <v>21</v>
      </c>
      <c r="K79" s="2" t="s">
        <v>22</v>
      </c>
      <c r="L79" s="2" t="s">
        <v>33</v>
      </c>
      <c r="M79" t="str">
        <f t="shared" si="9"/>
        <v>60.0</v>
      </c>
      <c r="N79" t="str">
        <f t="shared" si="10"/>
        <v>1000</v>
      </c>
      <c r="O79" t="str">
        <f t="shared" si="11"/>
        <v>10.2</v>
      </c>
      <c r="P79" t="str">
        <f t="shared" si="12"/>
        <v>1500</v>
      </c>
      <c r="Q79" t="str">
        <f t="shared" si="13"/>
        <v>130</v>
      </c>
    </row>
    <row r="80" spans="1:17" x14ac:dyDescent="0.25">
      <c r="A80" s="2" t="s">
        <v>178</v>
      </c>
      <c r="B80" s="2" t="s">
        <v>179</v>
      </c>
      <c r="C80" s="2" t="s">
        <v>180</v>
      </c>
      <c r="D80" s="2" t="s">
        <v>181</v>
      </c>
      <c r="E80" s="2" t="s">
        <v>182</v>
      </c>
      <c r="F80" s="2" t="s">
        <v>183</v>
      </c>
      <c r="G80" s="2" t="s">
        <v>40</v>
      </c>
      <c r="H80" s="2" t="s">
        <v>76</v>
      </c>
      <c r="I80" s="2" t="s">
        <v>20</v>
      </c>
      <c r="J80" s="2" t="s">
        <v>31</v>
      </c>
      <c r="K80" s="2" t="s">
        <v>32</v>
      </c>
      <c r="L80" s="2" t="s">
        <v>23</v>
      </c>
      <c r="M80" t="str">
        <f t="shared" si="9"/>
        <v>36.5</v>
      </c>
      <c r="N80" t="str">
        <f t="shared" si="10"/>
        <v>750</v>
      </c>
      <c r="O80" t="str">
        <f t="shared" si="11"/>
        <v>7.5</v>
      </c>
      <c r="P80" t="str">
        <f t="shared" si="12"/>
        <v>800</v>
      </c>
      <c r="Q80" t="str">
        <f t="shared" si="13"/>
        <v>90</v>
      </c>
    </row>
    <row r="81" spans="1:17" x14ac:dyDescent="0.25">
      <c r="A81" s="2" t="s">
        <v>184</v>
      </c>
      <c r="B81" s="2" t="s">
        <v>185</v>
      </c>
      <c r="C81" s="2" t="s">
        <v>186</v>
      </c>
      <c r="D81" s="2" t="s">
        <v>187</v>
      </c>
      <c r="E81" s="2" t="s">
        <v>188</v>
      </c>
      <c r="F81" s="2" t="s">
        <v>189</v>
      </c>
      <c r="G81" s="2" t="s">
        <v>63</v>
      </c>
      <c r="H81" s="2" t="s">
        <v>19</v>
      </c>
      <c r="I81" s="2" t="s">
        <v>30</v>
      </c>
      <c r="J81" s="2" t="s">
        <v>50</v>
      </c>
      <c r="K81" s="2" t="s">
        <v>32</v>
      </c>
      <c r="L81" s="2" t="s">
        <v>33</v>
      </c>
      <c r="M81" t="str">
        <f t="shared" si="9"/>
        <v>108.2</v>
      </c>
      <c r="N81" t="str">
        <f t="shared" si="10"/>
        <v>2000</v>
      </c>
      <c r="O81" t="str">
        <f t="shared" si="11"/>
        <v>20.0</v>
      </c>
      <c r="P81" t="str">
        <f t="shared" si="12"/>
        <v>2000</v>
      </c>
      <c r="Q81" t="str">
        <f t="shared" si="13"/>
        <v>220</v>
      </c>
    </row>
    <row r="82" spans="1:17" x14ac:dyDescent="0.25">
      <c r="A82" s="2" t="s">
        <v>190</v>
      </c>
      <c r="B82" s="2" t="s">
        <v>191</v>
      </c>
      <c r="C82" s="2" t="s">
        <v>192</v>
      </c>
      <c r="D82" s="2" t="s">
        <v>193</v>
      </c>
      <c r="E82" s="2" t="s">
        <v>194</v>
      </c>
      <c r="F82" s="2" t="s">
        <v>195</v>
      </c>
      <c r="G82" s="2" t="s">
        <v>18</v>
      </c>
      <c r="H82" s="2" t="s">
        <v>41</v>
      </c>
      <c r="I82" s="2" t="s">
        <v>42</v>
      </c>
      <c r="J82" s="2" t="s">
        <v>21</v>
      </c>
      <c r="K82" s="2" t="s">
        <v>22</v>
      </c>
      <c r="L82" s="2" t="s">
        <v>23</v>
      </c>
      <c r="M82" t="str">
        <f t="shared" si="9"/>
        <v>54.0</v>
      </c>
      <c r="N82" t="str">
        <f t="shared" si="10"/>
        <v>1200</v>
      </c>
      <c r="O82" t="str">
        <f t="shared" si="11"/>
        <v>9.8</v>
      </c>
      <c r="P82" t="str">
        <f t="shared" si="12"/>
        <v>1100</v>
      </c>
      <c r="Q82" t="str">
        <f t="shared" si="13"/>
        <v>140</v>
      </c>
    </row>
    <row r="83" spans="1:17" x14ac:dyDescent="0.25">
      <c r="A83" s="2" t="s">
        <v>196</v>
      </c>
      <c r="B83" s="2" t="s">
        <v>197</v>
      </c>
      <c r="C83" s="2" t="s">
        <v>198</v>
      </c>
      <c r="D83" s="2" t="s">
        <v>199</v>
      </c>
      <c r="E83" s="2" t="s">
        <v>200</v>
      </c>
      <c r="F83" s="2" t="s">
        <v>201</v>
      </c>
      <c r="G83" s="2" t="s">
        <v>40</v>
      </c>
      <c r="H83" s="2" t="s">
        <v>49</v>
      </c>
      <c r="I83" s="2" t="s">
        <v>20</v>
      </c>
      <c r="J83" s="2" t="s">
        <v>31</v>
      </c>
      <c r="K83" s="2" t="s">
        <v>32</v>
      </c>
      <c r="L83" s="2" t="s">
        <v>23</v>
      </c>
      <c r="M83" t="str">
        <f t="shared" si="9"/>
        <v>42.8</v>
      </c>
      <c r="N83" t="str">
        <f t="shared" si="10"/>
        <v>500</v>
      </c>
      <c r="O83" t="str">
        <f t="shared" si="11"/>
        <v>6.3</v>
      </c>
      <c r="P83" t="str">
        <f t="shared" si="12"/>
        <v>600</v>
      </c>
      <c r="Q83" t="str">
        <f t="shared" si="13"/>
        <v>100</v>
      </c>
    </row>
    <row r="84" spans="1:17" x14ac:dyDescent="0.25">
      <c r="A84" s="2" t="s">
        <v>202</v>
      </c>
      <c r="B84" s="2" t="s">
        <v>203</v>
      </c>
      <c r="C84" s="2" t="s">
        <v>204</v>
      </c>
      <c r="D84" s="2" t="s">
        <v>205</v>
      </c>
      <c r="E84" s="2" t="s">
        <v>206</v>
      </c>
      <c r="F84" s="2" t="s">
        <v>207</v>
      </c>
      <c r="G84" s="2" t="s">
        <v>63</v>
      </c>
      <c r="H84" s="2" t="s">
        <v>76</v>
      </c>
      <c r="I84" s="2" t="s">
        <v>30</v>
      </c>
      <c r="J84" s="2" t="s">
        <v>50</v>
      </c>
      <c r="K84" s="2" t="s">
        <v>32</v>
      </c>
      <c r="L84" s="2" t="s">
        <v>33</v>
      </c>
      <c r="M84" t="str">
        <f t="shared" si="9"/>
        <v>90.4</v>
      </c>
      <c r="N84" t="str">
        <f t="shared" si="10"/>
        <v>1500</v>
      </c>
      <c r="O84" t="str">
        <f t="shared" si="11"/>
        <v>18.5</v>
      </c>
      <c r="P84" t="str">
        <f t="shared" si="12"/>
        <v>1750</v>
      </c>
      <c r="Q84" t="str">
        <f t="shared" si="13"/>
        <v>190</v>
      </c>
    </row>
    <row r="85" spans="1:17" x14ac:dyDescent="0.25">
      <c r="A85" s="2" t="s">
        <v>208</v>
      </c>
      <c r="B85" s="2" t="s">
        <v>209</v>
      </c>
      <c r="C85" s="2" t="s">
        <v>210</v>
      </c>
      <c r="D85" s="2" t="s">
        <v>211</v>
      </c>
      <c r="E85" s="2" t="s">
        <v>212</v>
      </c>
      <c r="F85" s="2" t="s">
        <v>213</v>
      </c>
      <c r="G85" s="2" t="s">
        <v>18</v>
      </c>
      <c r="H85" s="2" t="s">
        <v>19</v>
      </c>
      <c r="I85" s="2" t="s">
        <v>20</v>
      </c>
      <c r="J85" s="2" t="s">
        <v>21</v>
      </c>
      <c r="K85" s="2" t="s">
        <v>32</v>
      </c>
      <c r="L85" s="2" t="s">
        <v>33</v>
      </c>
      <c r="M85" t="str">
        <f t="shared" si="9"/>
        <v>12.14</v>
      </c>
      <c r="N85" t="str">
        <f t="shared" si="10"/>
        <v>780.35</v>
      </c>
      <c r="O85" t="str">
        <f t="shared" si="11"/>
        <v>4.14</v>
      </c>
      <c r="P85" t="str">
        <f t="shared" si="12"/>
        <v>158.90</v>
      </c>
      <c r="Q85" t="str">
        <f t="shared" si="13"/>
        <v>45.39</v>
      </c>
    </row>
    <row r="86" spans="1:17" x14ac:dyDescent="0.25">
      <c r="A86" s="2" t="s">
        <v>214</v>
      </c>
      <c r="B86" s="2" t="s">
        <v>215</v>
      </c>
      <c r="C86" s="2" t="s">
        <v>216</v>
      </c>
      <c r="D86" s="2" t="s">
        <v>217</v>
      </c>
      <c r="E86" s="2" t="s">
        <v>218</v>
      </c>
      <c r="F86" s="2" t="s">
        <v>219</v>
      </c>
      <c r="G86" s="2" t="s">
        <v>40</v>
      </c>
      <c r="H86" s="2" t="s">
        <v>41</v>
      </c>
      <c r="I86" s="2" t="s">
        <v>42</v>
      </c>
      <c r="J86" s="2" t="s">
        <v>31</v>
      </c>
      <c r="K86" s="2" t="s">
        <v>32</v>
      </c>
      <c r="L86" s="2" t="s">
        <v>33</v>
      </c>
      <c r="M86" t="str">
        <f t="shared" si="9"/>
        <v>40.66</v>
      </c>
      <c r="N86" t="str">
        <f t="shared" si="10"/>
        <v>1903.89</v>
      </c>
      <c r="O86" t="str">
        <f t="shared" si="11"/>
        <v>37.22</v>
      </c>
      <c r="P86" t="str">
        <f t="shared" si="12"/>
        <v>900.12</v>
      </c>
      <c r="Q86" t="str">
        <f t="shared" si="13"/>
        <v>153.60</v>
      </c>
    </row>
    <row r="87" spans="1:17" x14ac:dyDescent="0.25">
      <c r="A87" s="2" t="s">
        <v>220</v>
      </c>
      <c r="B87" s="2" t="s">
        <v>221</v>
      </c>
      <c r="C87" s="2" t="s">
        <v>222</v>
      </c>
      <c r="D87" s="2" t="s">
        <v>223</v>
      </c>
      <c r="E87" s="2" t="s">
        <v>224</v>
      </c>
      <c r="F87" s="2" t="s">
        <v>225</v>
      </c>
      <c r="G87" s="2" t="s">
        <v>40</v>
      </c>
      <c r="H87" s="2" t="s">
        <v>49</v>
      </c>
      <c r="I87" s="2" t="s">
        <v>20</v>
      </c>
      <c r="J87" s="2" t="s">
        <v>31</v>
      </c>
      <c r="K87" s="2" t="s">
        <v>22</v>
      </c>
      <c r="L87" s="2" t="s">
        <v>23</v>
      </c>
      <c r="M87" t="str">
        <f t="shared" si="9"/>
        <v>34.68</v>
      </c>
      <c r="N87" t="str">
        <f t="shared" si="10"/>
        <v>1477.39</v>
      </c>
      <c r="O87" t="str">
        <f t="shared" si="11"/>
        <v>25.83</v>
      </c>
      <c r="P87" t="str">
        <f t="shared" si="12"/>
        <v>743.11</v>
      </c>
      <c r="Q87" t="str">
        <f t="shared" si="13"/>
        <v>19.97</v>
      </c>
    </row>
    <row r="88" spans="1:17" x14ac:dyDescent="0.25">
      <c r="A88" s="2" t="s">
        <v>226</v>
      </c>
      <c r="B88" s="2" t="s">
        <v>227</v>
      </c>
      <c r="C88" s="2" t="s">
        <v>228</v>
      </c>
      <c r="D88" s="2" t="s">
        <v>229</v>
      </c>
      <c r="E88" s="2" t="s">
        <v>230</v>
      </c>
      <c r="F88" s="2" t="s">
        <v>231</v>
      </c>
      <c r="G88" s="2" t="s">
        <v>40</v>
      </c>
      <c r="H88" s="2" t="s">
        <v>76</v>
      </c>
      <c r="I88" s="2" t="s">
        <v>20</v>
      </c>
      <c r="J88" s="2" t="s">
        <v>21</v>
      </c>
      <c r="K88" s="2" t="s">
        <v>32</v>
      </c>
      <c r="L88" s="2" t="s">
        <v>33</v>
      </c>
      <c r="M88" t="str">
        <f t="shared" si="9"/>
        <v>15.62</v>
      </c>
      <c r="N88" t="str">
        <f t="shared" si="10"/>
        <v>1217.38</v>
      </c>
      <c r="O88" t="str">
        <f t="shared" si="11"/>
        <v>9.96</v>
      </c>
      <c r="P88" t="str">
        <f t="shared" si="12"/>
        <v>308.81</v>
      </c>
      <c r="Q88" t="str">
        <f t="shared" si="13"/>
        <v>273.70</v>
      </c>
    </row>
    <row r="89" spans="1:17" x14ac:dyDescent="0.25">
      <c r="A89" s="2" t="s">
        <v>232</v>
      </c>
      <c r="B89" s="2" t="s">
        <v>233</v>
      </c>
      <c r="C89" s="2" t="s">
        <v>234</v>
      </c>
      <c r="D89" s="2" t="s">
        <v>235</v>
      </c>
      <c r="E89" s="2" t="s">
        <v>236</v>
      </c>
      <c r="F89" s="2" t="s">
        <v>237</v>
      </c>
      <c r="G89" s="2" t="s">
        <v>40</v>
      </c>
      <c r="H89" s="2" t="s">
        <v>41</v>
      </c>
      <c r="I89" s="2" t="s">
        <v>20</v>
      </c>
      <c r="J89" s="2" t="s">
        <v>21</v>
      </c>
      <c r="K89" s="2" t="s">
        <v>22</v>
      </c>
      <c r="L89" s="2" t="s">
        <v>23</v>
      </c>
      <c r="M89" t="str">
        <f t="shared" si="9"/>
        <v>4.51</v>
      </c>
      <c r="N89" t="str">
        <f t="shared" si="10"/>
        <v>354.24</v>
      </c>
      <c r="O89" t="str">
        <f t="shared" si="11"/>
        <v>2.74</v>
      </c>
      <c r="P89" t="str">
        <f t="shared" si="12"/>
        <v>92.20</v>
      </c>
      <c r="Q89" t="str">
        <f t="shared" si="13"/>
        <v>85.05</v>
      </c>
    </row>
    <row r="90" spans="1:17" x14ac:dyDescent="0.25">
      <c r="A90" s="2" t="s">
        <v>238</v>
      </c>
      <c r="B90" s="2" t="s">
        <v>239</v>
      </c>
      <c r="C90" s="2" t="s">
        <v>240</v>
      </c>
      <c r="D90" s="2" t="s">
        <v>241</v>
      </c>
      <c r="E90" s="2" t="s">
        <v>242</v>
      </c>
      <c r="F90" s="2" t="s">
        <v>243</v>
      </c>
      <c r="G90" s="2" t="s">
        <v>40</v>
      </c>
      <c r="H90" s="2" t="s">
        <v>49</v>
      </c>
      <c r="I90" s="2" t="s">
        <v>20</v>
      </c>
      <c r="J90" s="2" t="s">
        <v>21</v>
      </c>
      <c r="K90" s="2" t="s">
        <v>32</v>
      </c>
      <c r="L90" s="2" t="s">
        <v>23</v>
      </c>
      <c r="M90" t="str">
        <f t="shared" si="9"/>
        <v>4.90</v>
      </c>
      <c r="N90" t="str">
        <f t="shared" si="10"/>
        <v>354.19</v>
      </c>
      <c r="O90" t="str">
        <f t="shared" si="11"/>
        <v>2.75</v>
      </c>
      <c r="P90" t="str">
        <f t="shared" si="12"/>
        <v>119.57</v>
      </c>
      <c r="Q90" t="str">
        <f t="shared" si="13"/>
        <v>202.13</v>
      </c>
    </row>
    <row r="91" spans="1:17" x14ac:dyDescent="0.25">
      <c r="A91" s="2" t="s">
        <v>244</v>
      </c>
      <c r="B91" s="2" t="s">
        <v>245</v>
      </c>
      <c r="C91" s="2" t="s">
        <v>246</v>
      </c>
      <c r="D91" s="2" t="s">
        <v>247</v>
      </c>
      <c r="E91" s="2" t="s">
        <v>248</v>
      </c>
      <c r="F91" s="2" t="s">
        <v>249</v>
      </c>
      <c r="G91" s="2" t="s">
        <v>40</v>
      </c>
      <c r="H91" s="2" t="s">
        <v>41</v>
      </c>
      <c r="I91" s="2" t="s">
        <v>30</v>
      </c>
      <c r="J91" s="2" t="s">
        <v>31</v>
      </c>
      <c r="K91" s="2" t="s">
        <v>22</v>
      </c>
      <c r="L91" s="2" t="s">
        <v>33</v>
      </c>
      <c r="M91" t="str">
        <f t="shared" si="9"/>
        <v>3.13</v>
      </c>
      <c r="N91" t="str">
        <f t="shared" si="10"/>
        <v>163.26</v>
      </c>
      <c r="O91" t="str">
        <f t="shared" si="11"/>
        <v>1.56</v>
      </c>
      <c r="P91" t="str">
        <f t="shared" si="12"/>
        <v>40.58</v>
      </c>
      <c r="Q91" t="str">
        <f t="shared" si="13"/>
        <v>100.40</v>
      </c>
    </row>
    <row r="92" spans="1:17" x14ac:dyDescent="0.25">
      <c r="A92" s="2" t="s">
        <v>250</v>
      </c>
      <c r="B92" s="2" t="s">
        <v>251</v>
      </c>
      <c r="C92" s="2" t="s">
        <v>252</v>
      </c>
      <c r="D92" s="2" t="s">
        <v>253</v>
      </c>
      <c r="E92" s="2" t="s">
        <v>254</v>
      </c>
      <c r="F92" s="2" t="s">
        <v>255</v>
      </c>
      <c r="G92" s="2" t="s">
        <v>18</v>
      </c>
      <c r="H92" s="2" t="s">
        <v>49</v>
      </c>
      <c r="I92" s="2" t="s">
        <v>20</v>
      </c>
      <c r="J92" s="2" t="s">
        <v>21</v>
      </c>
      <c r="K92" s="2" t="s">
        <v>32</v>
      </c>
      <c r="L92" s="2" t="s">
        <v>33</v>
      </c>
      <c r="M92" t="str">
        <f t="shared" si="9"/>
        <v>39.61</v>
      </c>
      <c r="N92" t="str">
        <f t="shared" si="10"/>
        <v>1739.04</v>
      </c>
      <c r="O92" t="str">
        <f t="shared" si="11"/>
        <v>22.38</v>
      </c>
      <c r="P92" t="str">
        <f t="shared" si="12"/>
        <v>792.99</v>
      </c>
      <c r="Q92" t="str">
        <f t="shared" si="13"/>
        <v>160.82</v>
      </c>
    </row>
    <row r="93" spans="1:17" x14ac:dyDescent="0.25">
      <c r="A93" s="2" t="s">
        <v>256</v>
      </c>
      <c r="B93" s="2" t="s">
        <v>257</v>
      </c>
      <c r="C93" s="2" t="s">
        <v>258</v>
      </c>
      <c r="D93" s="2" t="s">
        <v>259</v>
      </c>
      <c r="E93" s="2" t="s">
        <v>260</v>
      </c>
      <c r="F93" s="2" t="s">
        <v>261</v>
      </c>
      <c r="G93" s="2" t="s">
        <v>18</v>
      </c>
      <c r="H93" s="2" t="s">
        <v>76</v>
      </c>
      <c r="I93" s="2" t="s">
        <v>20</v>
      </c>
      <c r="J93" s="2" t="s">
        <v>21</v>
      </c>
      <c r="K93" s="2" t="s">
        <v>32</v>
      </c>
      <c r="L93" s="2" t="s">
        <v>23</v>
      </c>
      <c r="M93" t="str">
        <f t="shared" si="9"/>
        <v>18.14</v>
      </c>
      <c r="N93" t="str">
        <f t="shared" si="10"/>
        <v>1222.17</v>
      </c>
      <c r="O93" t="str">
        <f t="shared" si="11"/>
        <v>14.03</v>
      </c>
      <c r="P93" t="str">
        <f t="shared" si="12"/>
        <v>529.93</v>
      </c>
      <c r="Q93" t="str">
        <f t="shared" si="13"/>
        <v>168.55</v>
      </c>
    </row>
    <row r="94" spans="1:17" x14ac:dyDescent="0.25">
      <c r="A94" s="2" t="s">
        <v>262</v>
      </c>
      <c r="B94" s="2" t="s">
        <v>263</v>
      </c>
      <c r="C94" s="2" t="s">
        <v>264</v>
      </c>
      <c r="D94" s="2" t="s">
        <v>265</v>
      </c>
      <c r="E94" s="2" t="s">
        <v>266</v>
      </c>
      <c r="F94" s="2" t="s">
        <v>267</v>
      </c>
      <c r="G94" s="2" t="s">
        <v>40</v>
      </c>
      <c r="H94" s="2" t="s">
        <v>19</v>
      </c>
      <c r="I94" s="2" t="s">
        <v>20</v>
      </c>
      <c r="J94" s="2" t="s">
        <v>31</v>
      </c>
      <c r="K94" s="2" t="s">
        <v>22</v>
      </c>
      <c r="L94" s="2" t="s">
        <v>23</v>
      </c>
      <c r="M94" t="str">
        <f t="shared" si="9"/>
        <v>24.84</v>
      </c>
      <c r="N94" t="str">
        <f t="shared" si="10"/>
        <v>1430.74</v>
      </c>
      <c r="O94" t="str">
        <f t="shared" si="11"/>
        <v>13.40</v>
      </c>
      <c r="P94" t="str">
        <f t="shared" si="12"/>
        <v>286.75</v>
      </c>
      <c r="Q94" t="str">
        <f t="shared" si="13"/>
        <v>63.61</v>
      </c>
    </row>
    <row r="95" spans="1:17" x14ac:dyDescent="0.25">
      <c r="A95" s="2" t="s">
        <v>12</v>
      </c>
      <c r="B95" s="2" t="s">
        <v>13</v>
      </c>
      <c r="C95" s="2" t="s">
        <v>14</v>
      </c>
      <c r="D95" s="2" t="s">
        <v>15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20</v>
      </c>
      <c r="J95" s="2" t="s">
        <v>21</v>
      </c>
      <c r="K95" s="2" t="s">
        <v>22</v>
      </c>
      <c r="L95" s="2" t="s">
        <v>23</v>
      </c>
      <c r="M95" t="str">
        <f t="shared" si="9"/>
        <v>94.25</v>
      </c>
      <c r="N95" t="str">
        <f t="shared" si="10"/>
        <v>1283.55</v>
      </c>
      <c r="O95" t="str">
        <f t="shared" si="11"/>
        <v>14.00</v>
      </c>
      <c r="P95" t="str">
        <f t="shared" si="12"/>
        <v>801.42</v>
      </c>
      <c r="Q95" t="str">
        <f t="shared" si="13"/>
        <v>66.76</v>
      </c>
    </row>
    <row r="96" spans="1:17" x14ac:dyDescent="0.25">
      <c r="A96" s="2" t="s">
        <v>24</v>
      </c>
      <c r="B96" s="2" t="s">
        <v>25</v>
      </c>
      <c r="C96" s="2" t="s">
        <v>26</v>
      </c>
      <c r="D96" s="2" t="s">
        <v>27</v>
      </c>
      <c r="E96" s="2" t="s">
        <v>28</v>
      </c>
      <c r="F96" s="2" t="s">
        <v>29</v>
      </c>
      <c r="G96" s="2" t="s">
        <v>18</v>
      </c>
      <c r="H96" s="2" t="s">
        <v>19</v>
      </c>
      <c r="I96" s="2" t="s">
        <v>30</v>
      </c>
      <c r="J96" s="2" t="s">
        <v>31</v>
      </c>
      <c r="K96" s="2" t="s">
        <v>32</v>
      </c>
      <c r="L96" s="2" t="s">
        <v>33</v>
      </c>
      <c r="M96" t="str">
        <f t="shared" si="9"/>
        <v>48.19</v>
      </c>
      <c r="N96" t="str">
        <f t="shared" si="10"/>
        <v>367.85</v>
      </c>
      <c r="O96" t="str">
        <f t="shared" si="11"/>
        <v>8.93</v>
      </c>
      <c r="P96" t="str">
        <f t="shared" si="12"/>
        <v>631.62</v>
      </c>
      <c r="Q96" t="str">
        <f t="shared" si="13"/>
        <v>114.29</v>
      </c>
    </row>
    <row r="97" spans="1:17" x14ac:dyDescent="0.25">
      <c r="A97" s="2" t="s">
        <v>34</v>
      </c>
      <c r="B97" s="2" t="s">
        <v>35</v>
      </c>
      <c r="C97" s="2" t="s">
        <v>36</v>
      </c>
      <c r="D97" s="2" t="s">
        <v>37</v>
      </c>
      <c r="E97" s="2" t="s">
        <v>38</v>
      </c>
      <c r="F97" s="2" t="s">
        <v>39</v>
      </c>
      <c r="G97" s="2" t="s">
        <v>40</v>
      </c>
      <c r="H97" s="2" t="s">
        <v>41</v>
      </c>
      <c r="I97" s="2" t="s">
        <v>42</v>
      </c>
      <c r="J97" s="2" t="s">
        <v>31</v>
      </c>
      <c r="K97" s="2" t="s">
        <v>22</v>
      </c>
      <c r="L97" s="2" t="s">
        <v>23</v>
      </c>
      <c r="M97" t="str">
        <f t="shared" si="9"/>
        <v>75.03</v>
      </c>
      <c r="N97" t="str">
        <f t="shared" si="10"/>
        <v>694.61</v>
      </c>
      <c r="O97" t="str">
        <f t="shared" si="11"/>
        <v>4.53</v>
      </c>
      <c r="P97" t="str">
        <f t="shared" si="12"/>
        <v>90.94</v>
      </c>
      <c r="Q97" t="str">
        <f t="shared" si="13"/>
        <v>147.93</v>
      </c>
    </row>
    <row r="98" spans="1:17" x14ac:dyDescent="0.25">
      <c r="A98" s="2" t="s">
        <v>43</v>
      </c>
      <c r="B98" s="2" t="s">
        <v>44</v>
      </c>
      <c r="C98" s="2" t="s">
        <v>45</v>
      </c>
      <c r="D98" s="2" t="s">
        <v>46</v>
      </c>
      <c r="E98" s="2" t="s">
        <v>47</v>
      </c>
      <c r="F98" s="2" t="s">
        <v>48</v>
      </c>
      <c r="G98" s="2" t="s">
        <v>18</v>
      </c>
      <c r="H98" s="2" t="s">
        <v>49</v>
      </c>
      <c r="I98" s="2" t="s">
        <v>42</v>
      </c>
      <c r="J98" s="2" t="s">
        <v>50</v>
      </c>
      <c r="K98" s="2" t="s">
        <v>32</v>
      </c>
      <c r="L98" s="2" t="s">
        <v>23</v>
      </c>
      <c r="M98" t="str">
        <f t="shared" si="9"/>
        <v>103.62</v>
      </c>
      <c r="N98" t="str">
        <f t="shared" si="10"/>
        <v>1794.09</v>
      </c>
      <c r="O98" t="str">
        <f t="shared" si="11"/>
        <v>6.12</v>
      </c>
      <c r="P98" t="str">
        <f t="shared" si="12"/>
        <v>874.84</v>
      </c>
      <c r="Q98" t="str">
        <f t="shared" si="13"/>
        <v>187.39</v>
      </c>
    </row>
    <row r="99" spans="1:17" x14ac:dyDescent="0.25">
      <c r="A99" s="2" t="s">
        <v>51</v>
      </c>
      <c r="B99" s="2" t="s">
        <v>52</v>
      </c>
      <c r="C99" s="2" t="s">
        <v>53</v>
      </c>
      <c r="D99" s="2" t="s">
        <v>54</v>
      </c>
      <c r="E99" s="2" t="s">
        <v>55</v>
      </c>
      <c r="F99" s="2" t="s">
        <v>56</v>
      </c>
      <c r="G99" s="2" t="s">
        <v>18</v>
      </c>
      <c r="H99" s="2" t="s">
        <v>19</v>
      </c>
      <c r="I99" s="2" t="s">
        <v>42</v>
      </c>
      <c r="J99" s="2" t="s">
        <v>21</v>
      </c>
      <c r="K99" s="2" t="s">
        <v>32</v>
      </c>
      <c r="L99" s="2" t="s">
        <v>33</v>
      </c>
      <c r="M99" t="str">
        <f t="shared" si="9"/>
        <v>113.99</v>
      </c>
      <c r="N99" t="str">
        <f t="shared" si="10"/>
        <v>950.55</v>
      </c>
      <c r="O99" t="str">
        <f t="shared" si="11"/>
        <v>23.09</v>
      </c>
      <c r="P99" t="str">
        <f t="shared" si="12"/>
        <v>921.66</v>
      </c>
      <c r="Q99" t="str">
        <f t="shared" si="13"/>
        <v>113.83</v>
      </c>
    </row>
    <row r="100" spans="1:17" x14ac:dyDescent="0.25">
      <c r="A100" s="2" t="s">
        <v>57</v>
      </c>
      <c r="B100" s="2" t="s">
        <v>58</v>
      </c>
      <c r="C100" s="2" t="s">
        <v>59</v>
      </c>
      <c r="D100" s="2" t="s">
        <v>60</v>
      </c>
      <c r="E100" s="2" t="s">
        <v>61</v>
      </c>
      <c r="F100" s="2" t="s">
        <v>62</v>
      </c>
      <c r="G100" s="2" t="s">
        <v>63</v>
      </c>
      <c r="H100" s="2" t="s">
        <v>49</v>
      </c>
      <c r="I100" s="2" t="s">
        <v>20</v>
      </c>
      <c r="J100" s="2" t="s">
        <v>21</v>
      </c>
      <c r="K100" s="2" t="s">
        <v>22</v>
      </c>
      <c r="L100" s="2" t="s">
        <v>23</v>
      </c>
      <c r="M100" t="str">
        <f t="shared" si="9"/>
        <v>18.50</v>
      </c>
      <c r="N100" t="str">
        <f t="shared" si="10"/>
        <v>1336.78</v>
      </c>
      <c r="O100" t="str">
        <f t="shared" si="11"/>
        <v>10.40</v>
      </c>
      <c r="P100" t="str">
        <f t="shared" si="12"/>
        <v>70.47</v>
      </c>
      <c r="Q100" t="str">
        <f t="shared" si="13"/>
        <v>141.45</v>
      </c>
    </row>
    <row r="101" spans="1:17" x14ac:dyDescent="0.25">
      <c r="A101" s="2" t="s">
        <v>64</v>
      </c>
      <c r="B101" s="2" t="s">
        <v>65</v>
      </c>
      <c r="C101" s="2" t="s">
        <v>66</v>
      </c>
      <c r="D101" s="2" t="s">
        <v>67</v>
      </c>
      <c r="E101" s="2" t="s">
        <v>68</v>
      </c>
      <c r="F101" s="2" t="s">
        <v>69</v>
      </c>
      <c r="G101" s="2" t="s">
        <v>40</v>
      </c>
      <c r="H101" s="2" t="s">
        <v>41</v>
      </c>
      <c r="I101" s="2" t="s">
        <v>20</v>
      </c>
      <c r="J101" s="2" t="s">
        <v>50</v>
      </c>
      <c r="K101" s="2" t="s">
        <v>22</v>
      </c>
      <c r="L101" s="2" t="s">
        <v>23</v>
      </c>
      <c r="M101" t="str">
        <f t="shared" si="9"/>
        <v>111.26</v>
      </c>
      <c r="N101" t="str">
        <f t="shared" si="10"/>
        <v>348.78</v>
      </c>
      <c r="O101" t="str">
        <f t="shared" si="11"/>
        <v>18.28</v>
      </c>
      <c r="P101" t="str">
        <f t="shared" si="12"/>
        <v>284.11</v>
      </c>
      <c r="Q101" t="str">
        <f t="shared" si="13"/>
        <v>225.50</v>
      </c>
    </row>
    <row r="102" spans="1:17" x14ac:dyDescent="0.25">
      <c r="A102" s="2" t="s">
        <v>70</v>
      </c>
      <c r="B102" s="2" t="s">
        <v>71</v>
      </c>
      <c r="C102" s="2" t="s">
        <v>72</v>
      </c>
      <c r="D102" s="2" t="s">
        <v>73</v>
      </c>
      <c r="E102" s="2" t="s">
        <v>74</v>
      </c>
      <c r="F102" s="2" t="s">
        <v>75</v>
      </c>
      <c r="G102" s="2" t="s">
        <v>40</v>
      </c>
      <c r="H102" s="2" t="s">
        <v>76</v>
      </c>
      <c r="I102" s="2" t="s">
        <v>20</v>
      </c>
      <c r="J102" s="2" t="s">
        <v>50</v>
      </c>
      <c r="K102" s="2" t="s">
        <v>22</v>
      </c>
      <c r="L102" s="2" t="s">
        <v>23</v>
      </c>
      <c r="M102" t="str">
        <f t="shared" si="9"/>
        <v>59.56</v>
      </c>
      <c r="N102" t="str">
        <f t="shared" si="10"/>
        <v>388.62</v>
      </c>
      <c r="O102" t="str">
        <f t="shared" si="11"/>
        <v>25.22</v>
      </c>
      <c r="P102" t="str">
        <f t="shared" si="12"/>
        <v>808.14</v>
      </c>
      <c r="Q102" t="str">
        <f t="shared" si="13"/>
        <v>15.82</v>
      </c>
    </row>
    <row r="103" spans="1:17" x14ac:dyDescent="0.25">
      <c r="A103" s="2" t="s">
        <v>77</v>
      </c>
      <c r="B103" s="2" t="s">
        <v>78</v>
      </c>
      <c r="C103" s="2" t="s">
        <v>79</v>
      </c>
      <c r="D103" s="2" t="s">
        <v>80</v>
      </c>
      <c r="E103" s="2" t="s">
        <v>81</v>
      </c>
      <c r="F103" s="2" t="s">
        <v>82</v>
      </c>
      <c r="G103" s="2" t="s">
        <v>40</v>
      </c>
      <c r="H103" s="2" t="s">
        <v>19</v>
      </c>
      <c r="I103" s="2" t="s">
        <v>20</v>
      </c>
      <c r="J103" s="2" t="s">
        <v>21</v>
      </c>
      <c r="K103" s="2" t="s">
        <v>22</v>
      </c>
      <c r="L103" s="2" t="s">
        <v>23</v>
      </c>
      <c r="M103" t="str">
        <f t="shared" si="9"/>
        <v>31.73</v>
      </c>
      <c r="N103" t="str">
        <f t="shared" si="10"/>
        <v>86.53</v>
      </c>
      <c r="O103" t="str">
        <f t="shared" si="11"/>
        <v>34.55</v>
      </c>
      <c r="P103" t="str">
        <f t="shared" si="12"/>
        <v>750.78</v>
      </c>
      <c r="Q103" t="str">
        <f t="shared" si="13"/>
        <v>79.47</v>
      </c>
    </row>
    <row r="104" spans="1:17" x14ac:dyDescent="0.25">
      <c r="A104" s="2" t="s">
        <v>83</v>
      </c>
      <c r="B104" s="2" t="s">
        <v>84</v>
      </c>
      <c r="C104" s="2" t="s">
        <v>85</v>
      </c>
      <c r="D104" s="2" t="s">
        <v>86</v>
      </c>
      <c r="E104" s="2" t="s">
        <v>87</v>
      </c>
      <c r="F104" s="2" t="s">
        <v>88</v>
      </c>
      <c r="G104" s="2" t="s">
        <v>18</v>
      </c>
      <c r="H104" s="2" t="s">
        <v>49</v>
      </c>
      <c r="I104" s="2" t="s">
        <v>42</v>
      </c>
      <c r="J104" s="2" t="s">
        <v>31</v>
      </c>
      <c r="K104" s="2" t="s">
        <v>22</v>
      </c>
      <c r="L104" s="2" t="s">
        <v>33</v>
      </c>
      <c r="M104" t="str">
        <f t="shared" si="9"/>
        <v>55.64</v>
      </c>
      <c r="N104" t="str">
        <f t="shared" si="10"/>
        <v>342.03</v>
      </c>
      <c r="O104" t="str">
        <f t="shared" si="11"/>
        <v>2.06</v>
      </c>
      <c r="P104" t="str">
        <f t="shared" si="12"/>
        <v>192.68</v>
      </c>
      <c r="Q104" t="str">
        <f t="shared" si="13"/>
        <v>215.44</v>
      </c>
    </row>
    <row r="105" spans="1:17" x14ac:dyDescent="0.25">
      <c r="A105" s="2" t="s">
        <v>89</v>
      </c>
      <c r="B105" s="2" t="s">
        <v>90</v>
      </c>
      <c r="C105" s="2" t="s">
        <v>91</v>
      </c>
      <c r="D105" s="2" t="s">
        <v>92</v>
      </c>
      <c r="E105" s="2" t="s">
        <v>93</v>
      </c>
      <c r="F105" s="2" t="s">
        <v>94</v>
      </c>
      <c r="G105" s="2" t="s">
        <v>63</v>
      </c>
      <c r="H105" s="2" t="s">
        <v>19</v>
      </c>
      <c r="I105" s="2" t="s">
        <v>30</v>
      </c>
      <c r="J105" s="2" t="s">
        <v>50</v>
      </c>
      <c r="K105" s="2" t="s">
        <v>32</v>
      </c>
      <c r="L105" s="2" t="s">
        <v>33</v>
      </c>
      <c r="M105" t="str">
        <f t="shared" si="9"/>
        <v>71.07</v>
      </c>
      <c r="N105" t="str">
        <f t="shared" si="10"/>
        <v>658.66</v>
      </c>
      <c r="O105" t="str">
        <f t="shared" si="11"/>
        <v>2.38</v>
      </c>
      <c r="P105" t="str">
        <f t="shared" si="12"/>
        <v>1164.43</v>
      </c>
      <c r="Q105" t="str">
        <f t="shared" si="13"/>
        <v>237.84</v>
      </c>
    </row>
    <row r="106" spans="1:17" x14ac:dyDescent="0.25">
      <c r="A106" s="2" t="s">
        <v>95</v>
      </c>
      <c r="B106" s="2" t="s">
        <v>96</v>
      </c>
      <c r="C106" s="2" t="s">
        <v>97</v>
      </c>
      <c r="D106" s="2" t="s">
        <v>98</v>
      </c>
      <c r="E106" s="2" t="s">
        <v>99</v>
      </c>
      <c r="F106" s="2" t="s">
        <v>100</v>
      </c>
      <c r="G106" s="2" t="s">
        <v>18</v>
      </c>
      <c r="H106" s="2" t="s">
        <v>76</v>
      </c>
      <c r="I106" s="2" t="s">
        <v>42</v>
      </c>
      <c r="J106" s="2" t="s">
        <v>21</v>
      </c>
      <c r="K106" s="2" t="s">
        <v>22</v>
      </c>
      <c r="L106" s="2" t="s">
        <v>33</v>
      </c>
      <c r="M106" t="str">
        <f t="shared" si="9"/>
        <v>70.79</v>
      </c>
      <c r="N106" t="str">
        <f t="shared" si="10"/>
        <v>530.89</v>
      </c>
      <c r="O106" t="str">
        <f t="shared" si="11"/>
        <v>73.97</v>
      </c>
      <c r="P106" t="str">
        <f t="shared" si="12"/>
        <v>1365.85</v>
      </c>
      <c r="Q106" t="str">
        <f t="shared" si="13"/>
        <v>73.85</v>
      </c>
    </row>
    <row r="107" spans="1:17" x14ac:dyDescent="0.25">
      <c r="A107" s="2" t="s">
        <v>101</v>
      </c>
      <c r="B107" s="2" t="s">
        <v>102</v>
      </c>
      <c r="C107" s="2" t="s">
        <v>103</v>
      </c>
      <c r="D107" s="2" t="s">
        <v>104</v>
      </c>
      <c r="E107" s="2" t="s">
        <v>105</v>
      </c>
      <c r="F107" s="2" t="s">
        <v>106</v>
      </c>
      <c r="G107" s="2" t="s">
        <v>18</v>
      </c>
      <c r="H107" s="2" t="s">
        <v>76</v>
      </c>
      <c r="I107" s="2" t="s">
        <v>30</v>
      </c>
      <c r="J107" s="2" t="s">
        <v>21</v>
      </c>
      <c r="K107" s="2" t="s">
        <v>32</v>
      </c>
      <c r="L107" s="2" t="s">
        <v>33</v>
      </c>
      <c r="M107" t="str">
        <f t="shared" si="9"/>
        <v>12.61</v>
      </c>
      <c r="N107" t="str">
        <f t="shared" si="10"/>
        <v>247.05</v>
      </c>
      <c r="O107" t="str">
        <f t="shared" si="11"/>
        <v>28.70</v>
      </c>
      <c r="P107" t="str">
        <f t="shared" si="12"/>
        <v>64.83</v>
      </c>
      <c r="Q107" t="str">
        <f t="shared" si="13"/>
        <v>19.67</v>
      </c>
    </row>
    <row r="108" spans="1:17" x14ac:dyDescent="0.25">
      <c r="A108" s="2" t="s">
        <v>107</v>
      </c>
      <c r="B108" s="2" t="s">
        <v>108</v>
      </c>
      <c r="C108" s="2" t="s">
        <v>109</v>
      </c>
      <c r="D108" s="2" t="s">
        <v>110</v>
      </c>
      <c r="E108" s="2" t="s">
        <v>111</v>
      </c>
      <c r="F108" s="2" t="s">
        <v>112</v>
      </c>
      <c r="G108" s="2" t="s">
        <v>63</v>
      </c>
      <c r="H108" s="2" t="s">
        <v>49</v>
      </c>
      <c r="I108" s="2" t="s">
        <v>20</v>
      </c>
      <c r="J108" s="2" t="s">
        <v>21</v>
      </c>
      <c r="K108" s="2" t="s">
        <v>32</v>
      </c>
      <c r="L108" s="2" t="s">
        <v>33</v>
      </c>
      <c r="M108" t="str">
        <f t="shared" si="9"/>
        <v>17.22</v>
      </c>
      <c r="N108" t="str">
        <f t="shared" si="10"/>
        <v>1240.65</v>
      </c>
      <c r="O108" t="str">
        <f t="shared" si="11"/>
        <v>86.44</v>
      </c>
      <c r="P108" t="str">
        <f t="shared" si="12"/>
        <v>1456.18</v>
      </c>
      <c r="Q108" t="str">
        <f t="shared" si="13"/>
        <v>142.03</v>
      </c>
    </row>
    <row r="109" spans="1:17" x14ac:dyDescent="0.25">
      <c r="A109" s="2" t="s">
        <v>113</v>
      </c>
      <c r="B109" s="2" t="s">
        <v>114</v>
      </c>
      <c r="C109" s="2" t="s">
        <v>115</v>
      </c>
      <c r="D109" s="2" t="s">
        <v>116</v>
      </c>
      <c r="E109" s="2" t="s">
        <v>117</v>
      </c>
      <c r="F109" s="2" t="s">
        <v>118</v>
      </c>
      <c r="G109" s="2" t="s">
        <v>63</v>
      </c>
      <c r="H109" s="2" t="s">
        <v>41</v>
      </c>
      <c r="I109" s="2" t="s">
        <v>20</v>
      </c>
      <c r="J109" s="2" t="s">
        <v>31</v>
      </c>
      <c r="K109" s="2" t="s">
        <v>32</v>
      </c>
      <c r="L109" s="2" t="s">
        <v>33</v>
      </c>
      <c r="M109" t="str">
        <f t="shared" si="9"/>
        <v>66.19</v>
      </c>
      <c r="N109" t="str">
        <f t="shared" si="10"/>
        <v>720.39</v>
      </c>
      <c r="O109" t="str">
        <f t="shared" si="11"/>
        <v>37.80</v>
      </c>
      <c r="P109" t="str">
        <f t="shared" si="12"/>
        <v>1097.66</v>
      </c>
      <c r="Q109" t="str">
        <f t="shared" si="13"/>
        <v>37.53</v>
      </c>
    </row>
    <row r="110" spans="1:17" x14ac:dyDescent="0.25">
      <c r="A110" s="2" t="s">
        <v>119</v>
      </c>
      <c r="B110" s="2" t="s">
        <v>120</v>
      </c>
      <c r="C110" s="2" t="s">
        <v>121</v>
      </c>
      <c r="D110" s="2" t="s">
        <v>122</v>
      </c>
      <c r="E110" s="2" t="s">
        <v>123</v>
      </c>
      <c r="F110" s="2" t="s">
        <v>124</v>
      </c>
      <c r="G110" s="2" t="s">
        <v>40</v>
      </c>
      <c r="H110" s="2" t="s">
        <v>76</v>
      </c>
      <c r="I110" s="2" t="s">
        <v>42</v>
      </c>
      <c r="J110" s="2" t="s">
        <v>50</v>
      </c>
      <c r="K110" s="2" t="s">
        <v>32</v>
      </c>
      <c r="L110" s="2" t="s">
        <v>33</v>
      </c>
      <c r="M110" t="str">
        <f t="shared" si="9"/>
        <v>22.47</v>
      </c>
      <c r="N110" t="str">
        <f t="shared" si="10"/>
        <v>1959.24</v>
      </c>
      <c r="O110" t="str">
        <f t="shared" si="11"/>
        <v>19.19</v>
      </c>
      <c r="P110" t="str">
        <f t="shared" si="12"/>
        <v>1465.60</v>
      </c>
      <c r="Q110" t="str">
        <f t="shared" si="13"/>
        <v>126.44</v>
      </c>
    </row>
    <row r="111" spans="1:17" x14ac:dyDescent="0.25">
      <c r="A111" s="2" t="s">
        <v>208</v>
      </c>
      <c r="B111" s="2" t="s">
        <v>209</v>
      </c>
      <c r="C111" s="2" t="s">
        <v>210</v>
      </c>
      <c r="D111" s="2" t="s">
        <v>211</v>
      </c>
      <c r="E111" s="2" t="s">
        <v>212</v>
      </c>
      <c r="F111" s="2" t="s">
        <v>213</v>
      </c>
      <c r="G111" s="2" t="s">
        <v>18</v>
      </c>
      <c r="H111" s="2" t="s">
        <v>19</v>
      </c>
      <c r="I111" s="2" t="s">
        <v>20</v>
      </c>
      <c r="J111" s="2" t="s">
        <v>21</v>
      </c>
      <c r="K111" s="2" t="s">
        <v>32</v>
      </c>
      <c r="L111" s="2" t="s">
        <v>33</v>
      </c>
      <c r="M111" t="str">
        <f t="shared" si="9"/>
        <v>12.14</v>
      </c>
      <c r="N111" t="str">
        <f t="shared" si="10"/>
        <v>780.35</v>
      </c>
      <c r="O111" t="str">
        <f t="shared" si="11"/>
        <v>4.14</v>
      </c>
      <c r="P111" t="str">
        <f t="shared" si="12"/>
        <v>158.90</v>
      </c>
      <c r="Q111" t="str">
        <f t="shared" si="13"/>
        <v>45.39</v>
      </c>
    </row>
    <row r="112" spans="1:17" x14ac:dyDescent="0.25">
      <c r="A112" s="2" t="s">
        <v>214</v>
      </c>
      <c r="B112" s="2" t="s">
        <v>215</v>
      </c>
      <c r="C112" s="2" t="s">
        <v>216</v>
      </c>
      <c r="D112" s="2" t="s">
        <v>217</v>
      </c>
      <c r="E112" s="2" t="s">
        <v>218</v>
      </c>
      <c r="F112" s="2" t="s">
        <v>219</v>
      </c>
      <c r="G112" s="2" t="s">
        <v>40</v>
      </c>
      <c r="H112" s="2" t="s">
        <v>41</v>
      </c>
      <c r="I112" s="2" t="s">
        <v>42</v>
      </c>
      <c r="J112" s="2" t="s">
        <v>31</v>
      </c>
      <c r="K112" s="2" t="s">
        <v>32</v>
      </c>
      <c r="L112" s="2" t="s">
        <v>33</v>
      </c>
      <c r="M112" t="str">
        <f t="shared" si="9"/>
        <v>40.66</v>
      </c>
      <c r="N112" t="str">
        <f t="shared" si="10"/>
        <v>1903.89</v>
      </c>
      <c r="O112" t="str">
        <f t="shared" si="11"/>
        <v>37.22</v>
      </c>
      <c r="P112" t="str">
        <f t="shared" si="12"/>
        <v>900.12</v>
      </c>
      <c r="Q112" t="str">
        <f t="shared" si="13"/>
        <v>153.60</v>
      </c>
    </row>
    <row r="113" spans="1:17" x14ac:dyDescent="0.25">
      <c r="A113" s="2" t="s">
        <v>220</v>
      </c>
      <c r="B113" s="2" t="s">
        <v>221</v>
      </c>
      <c r="C113" s="2" t="s">
        <v>222</v>
      </c>
      <c r="D113" s="2" t="s">
        <v>223</v>
      </c>
      <c r="E113" s="2" t="s">
        <v>224</v>
      </c>
      <c r="F113" s="2" t="s">
        <v>225</v>
      </c>
      <c r="G113" s="2" t="s">
        <v>40</v>
      </c>
      <c r="H113" s="2" t="s">
        <v>49</v>
      </c>
      <c r="I113" s="2" t="s">
        <v>20</v>
      </c>
      <c r="J113" s="2" t="s">
        <v>31</v>
      </c>
      <c r="K113" s="2" t="s">
        <v>22</v>
      </c>
      <c r="L113" s="2" t="s">
        <v>23</v>
      </c>
      <c r="M113" t="str">
        <f t="shared" si="9"/>
        <v>34.68</v>
      </c>
      <c r="N113" t="str">
        <f t="shared" si="10"/>
        <v>1477.39</v>
      </c>
      <c r="O113" t="str">
        <f t="shared" si="11"/>
        <v>25.83</v>
      </c>
      <c r="P113" t="str">
        <f t="shared" si="12"/>
        <v>743.11</v>
      </c>
      <c r="Q113" t="str">
        <f t="shared" si="13"/>
        <v>19.97</v>
      </c>
    </row>
    <row r="114" spans="1:17" x14ac:dyDescent="0.25">
      <c r="A114" s="2" t="s">
        <v>226</v>
      </c>
      <c r="B114" s="2" t="s">
        <v>227</v>
      </c>
      <c r="C114" s="2" t="s">
        <v>228</v>
      </c>
      <c r="D114" s="2" t="s">
        <v>229</v>
      </c>
      <c r="E114" s="2" t="s">
        <v>230</v>
      </c>
      <c r="F114" s="2" t="s">
        <v>231</v>
      </c>
      <c r="G114" s="2" t="s">
        <v>40</v>
      </c>
      <c r="H114" s="2" t="s">
        <v>76</v>
      </c>
      <c r="I114" s="2" t="s">
        <v>20</v>
      </c>
      <c r="J114" s="2" t="s">
        <v>21</v>
      </c>
      <c r="K114" s="2" t="s">
        <v>32</v>
      </c>
      <c r="L114" s="2" t="s">
        <v>33</v>
      </c>
      <c r="M114" t="str">
        <f t="shared" si="9"/>
        <v>15.62</v>
      </c>
      <c r="N114" t="str">
        <f t="shared" si="10"/>
        <v>1217.38</v>
      </c>
      <c r="O114" t="str">
        <f t="shared" si="11"/>
        <v>9.96</v>
      </c>
      <c r="P114" t="str">
        <f t="shared" si="12"/>
        <v>308.81</v>
      </c>
      <c r="Q114" t="str">
        <f t="shared" si="13"/>
        <v>273.70</v>
      </c>
    </row>
    <row r="115" spans="1:17" x14ac:dyDescent="0.25">
      <c r="A115" s="2" t="s">
        <v>232</v>
      </c>
      <c r="B115" s="2" t="s">
        <v>233</v>
      </c>
      <c r="C115" s="2" t="s">
        <v>234</v>
      </c>
      <c r="D115" s="2" t="s">
        <v>235</v>
      </c>
      <c r="E115" s="2" t="s">
        <v>236</v>
      </c>
      <c r="F115" s="2" t="s">
        <v>237</v>
      </c>
      <c r="G115" s="2" t="s">
        <v>40</v>
      </c>
      <c r="H115" s="2" t="s">
        <v>41</v>
      </c>
      <c r="I115" s="2" t="s">
        <v>20</v>
      </c>
      <c r="J115" s="2" t="s">
        <v>21</v>
      </c>
      <c r="K115" s="2" t="s">
        <v>22</v>
      </c>
      <c r="L115" s="2" t="s">
        <v>23</v>
      </c>
      <c r="M115" t="str">
        <f t="shared" si="9"/>
        <v>4.51</v>
      </c>
      <c r="N115" t="str">
        <f t="shared" si="10"/>
        <v>354.24</v>
      </c>
      <c r="O115" t="str">
        <f t="shared" si="11"/>
        <v>2.74</v>
      </c>
      <c r="P115" t="str">
        <f t="shared" si="12"/>
        <v>92.20</v>
      </c>
      <c r="Q115" t="str">
        <f t="shared" si="13"/>
        <v>85.05</v>
      </c>
    </row>
    <row r="116" spans="1:17" x14ac:dyDescent="0.25">
      <c r="A116" s="2" t="s">
        <v>238</v>
      </c>
      <c r="B116" s="2" t="s">
        <v>239</v>
      </c>
      <c r="C116" s="2" t="s">
        <v>240</v>
      </c>
      <c r="D116" s="2" t="s">
        <v>241</v>
      </c>
      <c r="E116" s="2" t="s">
        <v>242</v>
      </c>
      <c r="F116" s="2" t="s">
        <v>243</v>
      </c>
      <c r="G116" s="2" t="s">
        <v>40</v>
      </c>
      <c r="H116" s="2" t="s">
        <v>49</v>
      </c>
      <c r="I116" s="2" t="s">
        <v>20</v>
      </c>
      <c r="J116" s="2" t="s">
        <v>21</v>
      </c>
      <c r="K116" s="2" t="s">
        <v>32</v>
      </c>
      <c r="L116" s="2" t="s">
        <v>23</v>
      </c>
      <c r="M116" t="str">
        <f t="shared" si="9"/>
        <v>4.90</v>
      </c>
      <c r="N116" t="str">
        <f t="shared" si="10"/>
        <v>354.19</v>
      </c>
      <c r="O116" t="str">
        <f t="shared" si="11"/>
        <v>2.75</v>
      </c>
      <c r="P116" t="str">
        <f t="shared" si="12"/>
        <v>119.57</v>
      </c>
      <c r="Q116" t="str">
        <f t="shared" si="13"/>
        <v>202.13</v>
      </c>
    </row>
    <row r="117" spans="1:17" x14ac:dyDescent="0.25">
      <c r="A117" s="2" t="s">
        <v>244</v>
      </c>
      <c r="B117" s="2" t="s">
        <v>245</v>
      </c>
      <c r="C117" s="2" t="s">
        <v>246</v>
      </c>
      <c r="D117" s="2" t="s">
        <v>247</v>
      </c>
      <c r="E117" s="2" t="s">
        <v>248</v>
      </c>
      <c r="F117" s="2" t="s">
        <v>249</v>
      </c>
      <c r="G117" s="2" t="s">
        <v>40</v>
      </c>
      <c r="H117" s="2" t="s">
        <v>41</v>
      </c>
      <c r="I117" s="2" t="s">
        <v>30</v>
      </c>
      <c r="J117" s="2" t="s">
        <v>31</v>
      </c>
      <c r="K117" s="2" t="s">
        <v>22</v>
      </c>
      <c r="L117" s="2" t="s">
        <v>33</v>
      </c>
      <c r="M117" t="str">
        <f t="shared" si="9"/>
        <v>3.13</v>
      </c>
      <c r="N117" t="str">
        <f t="shared" si="10"/>
        <v>163.26</v>
      </c>
      <c r="O117" t="str">
        <f t="shared" si="11"/>
        <v>1.56</v>
      </c>
      <c r="P117" t="str">
        <f t="shared" si="12"/>
        <v>40.58</v>
      </c>
      <c r="Q117" t="str">
        <f t="shared" si="13"/>
        <v>100.40</v>
      </c>
    </row>
    <row r="118" spans="1:17" x14ac:dyDescent="0.25">
      <c r="A118" s="2" t="s">
        <v>250</v>
      </c>
      <c r="B118" s="2" t="s">
        <v>251</v>
      </c>
      <c r="C118" s="2" t="s">
        <v>252</v>
      </c>
      <c r="D118" s="2" t="s">
        <v>253</v>
      </c>
      <c r="E118" s="2" t="s">
        <v>254</v>
      </c>
      <c r="F118" s="2" t="s">
        <v>255</v>
      </c>
      <c r="G118" s="2" t="s">
        <v>18</v>
      </c>
      <c r="H118" s="2" t="s">
        <v>49</v>
      </c>
      <c r="I118" s="2" t="s">
        <v>20</v>
      </c>
      <c r="J118" s="2" t="s">
        <v>21</v>
      </c>
      <c r="K118" s="2" t="s">
        <v>32</v>
      </c>
      <c r="L118" s="2" t="s">
        <v>33</v>
      </c>
      <c r="M118" t="str">
        <f t="shared" si="9"/>
        <v>39.61</v>
      </c>
      <c r="N118" t="str">
        <f t="shared" si="10"/>
        <v>1739.04</v>
      </c>
      <c r="O118" t="str">
        <f t="shared" si="11"/>
        <v>22.38</v>
      </c>
      <c r="P118" t="str">
        <f t="shared" si="12"/>
        <v>792.99</v>
      </c>
      <c r="Q118" t="str">
        <f t="shared" si="13"/>
        <v>160.82</v>
      </c>
    </row>
    <row r="119" spans="1:17" x14ac:dyDescent="0.25">
      <c r="A119" s="2" t="s">
        <v>256</v>
      </c>
      <c r="B119" s="2" t="s">
        <v>257</v>
      </c>
      <c r="C119" s="2" t="s">
        <v>258</v>
      </c>
      <c r="D119" s="2" t="s">
        <v>259</v>
      </c>
      <c r="E119" s="2" t="s">
        <v>260</v>
      </c>
      <c r="F119" s="2" t="s">
        <v>261</v>
      </c>
      <c r="G119" s="2" t="s">
        <v>18</v>
      </c>
      <c r="H119" s="2" t="s">
        <v>76</v>
      </c>
      <c r="I119" s="2" t="s">
        <v>20</v>
      </c>
      <c r="J119" s="2" t="s">
        <v>21</v>
      </c>
      <c r="K119" s="2" t="s">
        <v>32</v>
      </c>
      <c r="L119" s="2" t="s">
        <v>23</v>
      </c>
      <c r="M119" t="str">
        <f t="shared" si="9"/>
        <v>18.14</v>
      </c>
      <c r="N119" t="str">
        <f t="shared" si="10"/>
        <v>1222.17</v>
      </c>
      <c r="O119" t="str">
        <f t="shared" si="11"/>
        <v>14.03</v>
      </c>
      <c r="P119" t="str">
        <f t="shared" si="12"/>
        <v>529.93</v>
      </c>
      <c r="Q119" t="str">
        <f t="shared" si="13"/>
        <v>168.55</v>
      </c>
    </row>
    <row r="120" spans="1:17" x14ac:dyDescent="0.25">
      <c r="A120" s="2" t="s">
        <v>262</v>
      </c>
      <c r="B120" s="2" t="s">
        <v>263</v>
      </c>
      <c r="C120" s="2" t="s">
        <v>264</v>
      </c>
      <c r="D120" s="2" t="s">
        <v>265</v>
      </c>
      <c r="E120" s="2" t="s">
        <v>266</v>
      </c>
      <c r="F120" s="2" t="s">
        <v>267</v>
      </c>
      <c r="G120" s="2" t="s">
        <v>40</v>
      </c>
      <c r="H120" s="2" t="s">
        <v>19</v>
      </c>
      <c r="I120" s="2" t="s">
        <v>20</v>
      </c>
      <c r="J120" s="2" t="s">
        <v>31</v>
      </c>
      <c r="K120" s="2" t="s">
        <v>22</v>
      </c>
      <c r="L120" s="2" t="s">
        <v>23</v>
      </c>
      <c r="M120" t="str">
        <f t="shared" si="9"/>
        <v>24.84</v>
      </c>
      <c r="N120" t="str">
        <f t="shared" si="10"/>
        <v>1430.74</v>
      </c>
      <c r="O120" t="str">
        <f t="shared" si="11"/>
        <v>13.40</v>
      </c>
      <c r="P120" t="str">
        <f t="shared" si="12"/>
        <v>286.75</v>
      </c>
      <c r="Q120" t="str">
        <f t="shared" si="13"/>
        <v>63.61</v>
      </c>
    </row>
    <row r="121" spans="1:17" x14ac:dyDescent="0.25">
      <c r="A121" s="2" t="s">
        <v>12</v>
      </c>
      <c r="B121" s="2" t="s">
        <v>13</v>
      </c>
      <c r="C121" s="2" t="s">
        <v>14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19</v>
      </c>
      <c r="I121" s="2" t="s">
        <v>20</v>
      </c>
      <c r="J121" s="2" t="s">
        <v>21</v>
      </c>
      <c r="K121" s="2" t="s">
        <v>22</v>
      </c>
      <c r="L121" s="2" t="s">
        <v>23</v>
      </c>
      <c r="M121" t="str">
        <f t="shared" si="9"/>
        <v>94.25</v>
      </c>
      <c r="N121" t="str">
        <f t="shared" si="10"/>
        <v>1283.55</v>
      </c>
      <c r="O121" t="str">
        <f t="shared" si="11"/>
        <v>14.00</v>
      </c>
      <c r="P121" t="str">
        <f t="shared" si="12"/>
        <v>801.42</v>
      </c>
      <c r="Q121" t="str">
        <f t="shared" si="13"/>
        <v>66.76</v>
      </c>
    </row>
    <row r="122" spans="1:17" x14ac:dyDescent="0.25">
      <c r="A122" s="2" t="s">
        <v>24</v>
      </c>
      <c r="B122" s="2" t="s">
        <v>25</v>
      </c>
      <c r="C122" s="2" t="s">
        <v>26</v>
      </c>
      <c r="D122" s="2" t="s">
        <v>27</v>
      </c>
      <c r="E122" s="2" t="s">
        <v>28</v>
      </c>
      <c r="F122" s="2" t="s">
        <v>29</v>
      </c>
      <c r="G122" s="2" t="s">
        <v>18</v>
      </c>
      <c r="H122" s="2" t="s">
        <v>19</v>
      </c>
      <c r="I122" s="2" t="s">
        <v>30</v>
      </c>
      <c r="J122" s="2" t="s">
        <v>31</v>
      </c>
      <c r="K122" s="2" t="s">
        <v>32</v>
      </c>
      <c r="L122" s="2" t="s">
        <v>33</v>
      </c>
      <c r="M122" t="str">
        <f t="shared" si="9"/>
        <v>48.19</v>
      </c>
      <c r="N122" t="str">
        <f t="shared" si="10"/>
        <v>367.85</v>
      </c>
      <c r="O122" t="str">
        <f t="shared" si="11"/>
        <v>8.93</v>
      </c>
      <c r="P122" t="str">
        <f t="shared" si="12"/>
        <v>631.62</v>
      </c>
      <c r="Q122" t="str">
        <f t="shared" si="13"/>
        <v>114.29</v>
      </c>
    </row>
    <row r="123" spans="1:17" x14ac:dyDescent="0.25">
      <c r="A123" s="2" t="s">
        <v>34</v>
      </c>
      <c r="B123" s="2" t="s">
        <v>35</v>
      </c>
      <c r="C123" s="2" t="s">
        <v>36</v>
      </c>
      <c r="D123" s="2" t="s">
        <v>37</v>
      </c>
      <c r="E123" s="2" t="s">
        <v>38</v>
      </c>
      <c r="F123" s="2" t="s">
        <v>39</v>
      </c>
      <c r="G123" s="2" t="s">
        <v>40</v>
      </c>
      <c r="H123" s="2" t="s">
        <v>41</v>
      </c>
      <c r="I123" s="2" t="s">
        <v>42</v>
      </c>
      <c r="J123" s="2" t="s">
        <v>31</v>
      </c>
      <c r="K123" s="2" t="s">
        <v>22</v>
      </c>
      <c r="L123" s="2" t="s">
        <v>23</v>
      </c>
      <c r="M123" t="str">
        <f t="shared" si="9"/>
        <v>75.03</v>
      </c>
      <c r="N123" t="str">
        <f t="shared" si="10"/>
        <v>694.61</v>
      </c>
      <c r="O123" t="str">
        <f t="shared" si="11"/>
        <v>4.53</v>
      </c>
      <c r="P123" t="str">
        <f t="shared" si="12"/>
        <v>90.94</v>
      </c>
      <c r="Q123" t="str">
        <f t="shared" si="13"/>
        <v>147.93</v>
      </c>
    </row>
    <row r="124" spans="1:17" x14ac:dyDescent="0.25">
      <c r="A124" s="2" t="s">
        <v>43</v>
      </c>
      <c r="B124" s="2" t="s">
        <v>44</v>
      </c>
      <c r="C124" s="2" t="s">
        <v>45</v>
      </c>
      <c r="D124" s="2" t="s">
        <v>46</v>
      </c>
      <c r="E124" s="2" t="s">
        <v>47</v>
      </c>
      <c r="F124" s="2" t="s">
        <v>48</v>
      </c>
      <c r="G124" s="2" t="s">
        <v>18</v>
      </c>
      <c r="H124" s="2" t="s">
        <v>49</v>
      </c>
      <c r="I124" s="2" t="s">
        <v>42</v>
      </c>
      <c r="J124" s="2" t="s">
        <v>50</v>
      </c>
      <c r="K124" s="2" t="s">
        <v>32</v>
      </c>
      <c r="L124" s="2" t="s">
        <v>23</v>
      </c>
      <c r="M124" t="str">
        <f t="shared" si="9"/>
        <v>103.62</v>
      </c>
      <c r="N124" t="str">
        <f t="shared" si="10"/>
        <v>1794.09</v>
      </c>
      <c r="O124" t="str">
        <f t="shared" si="11"/>
        <v>6.12</v>
      </c>
      <c r="P124" t="str">
        <f t="shared" si="12"/>
        <v>874.84</v>
      </c>
      <c r="Q124" t="str">
        <f t="shared" si="13"/>
        <v>187.39</v>
      </c>
    </row>
    <row r="125" spans="1:17" x14ac:dyDescent="0.25">
      <c r="A125" s="2" t="s">
        <v>51</v>
      </c>
      <c r="B125" s="2" t="s">
        <v>52</v>
      </c>
      <c r="C125" s="2" t="s">
        <v>53</v>
      </c>
      <c r="D125" s="2" t="s">
        <v>54</v>
      </c>
      <c r="E125" s="2" t="s">
        <v>55</v>
      </c>
      <c r="F125" s="2" t="s">
        <v>56</v>
      </c>
      <c r="G125" s="2" t="s">
        <v>18</v>
      </c>
      <c r="H125" s="2" t="s">
        <v>19</v>
      </c>
      <c r="I125" s="2" t="s">
        <v>42</v>
      </c>
      <c r="J125" s="2" t="s">
        <v>21</v>
      </c>
      <c r="K125" s="2" t="s">
        <v>32</v>
      </c>
      <c r="L125" s="2" t="s">
        <v>33</v>
      </c>
      <c r="M125" t="str">
        <f t="shared" si="9"/>
        <v>113.99</v>
      </c>
      <c r="N125" t="str">
        <f t="shared" si="10"/>
        <v>950.55</v>
      </c>
      <c r="O125" t="str">
        <f t="shared" si="11"/>
        <v>23.09</v>
      </c>
      <c r="P125" t="str">
        <f t="shared" si="12"/>
        <v>921.66</v>
      </c>
      <c r="Q125" t="str">
        <f t="shared" si="13"/>
        <v>113.83</v>
      </c>
    </row>
    <row r="126" spans="1:17" x14ac:dyDescent="0.25">
      <c r="A126" s="2" t="s">
        <v>57</v>
      </c>
      <c r="B126" s="2" t="s">
        <v>58</v>
      </c>
      <c r="C126" s="2" t="s">
        <v>59</v>
      </c>
      <c r="D126" s="2" t="s">
        <v>60</v>
      </c>
      <c r="E126" s="2" t="s">
        <v>61</v>
      </c>
      <c r="F126" s="2" t="s">
        <v>62</v>
      </c>
      <c r="G126" s="2" t="s">
        <v>63</v>
      </c>
      <c r="H126" s="2" t="s">
        <v>49</v>
      </c>
      <c r="I126" s="2" t="s">
        <v>20</v>
      </c>
      <c r="J126" s="2" t="s">
        <v>21</v>
      </c>
      <c r="K126" s="2" t="s">
        <v>22</v>
      </c>
      <c r="L126" s="2" t="s">
        <v>23</v>
      </c>
      <c r="M126" t="str">
        <f t="shared" si="9"/>
        <v>18.50</v>
      </c>
      <c r="N126" t="str">
        <f t="shared" si="10"/>
        <v>1336.78</v>
      </c>
      <c r="O126" t="str">
        <f t="shared" si="11"/>
        <v>10.40</v>
      </c>
      <c r="P126" t="str">
        <f t="shared" si="12"/>
        <v>70.47</v>
      </c>
      <c r="Q126" t="str">
        <f t="shared" si="13"/>
        <v>141.45</v>
      </c>
    </row>
    <row r="127" spans="1:17" x14ac:dyDescent="0.25">
      <c r="A127" s="2" t="s">
        <v>64</v>
      </c>
      <c r="B127" s="2" t="s">
        <v>65</v>
      </c>
      <c r="C127" s="2" t="s">
        <v>66</v>
      </c>
      <c r="D127" s="2" t="s">
        <v>67</v>
      </c>
      <c r="E127" s="2" t="s">
        <v>68</v>
      </c>
      <c r="F127" s="2" t="s">
        <v>69</v>
      </c>
      <c r="G127" s="2" t="s">
        <v>40</v>
      </c>
      <c r="H127" s="2" t="s">
        <v>41</v>
      </c>
      <c r="I127" s="2" t="s">
        <v>20</v>
      </c>
      <c r="J127" s="2" t="s">
        <v>50</v>
      </c>
      <c r="K127" s="2" t="s">
        <v>22</v>
      </c>
      <c r="L127" s="2" t="s">
        <v>23</v>
      </c>
      <c r="M127" t="str">
        <f t="shared" si="9"/>
        <v>111.26</v>
      </c>
      <c r="N127" t="str">
        <f t="shared" si="10"/>
        <v>348.78</v>
      </c>
      <c r="O127" t="str">
        <f t="shared" si="11"/>
        <v>18.28</v>
      </c>
      <c r="P127" t="str">
        <f t="shared" si="12"/>
        <v>284.11</v>
      </c>
      <c r="Q127" t="str">
        <f t="shared" si="13"/>
        <v>225.50</v>
      </c>
    </row>
    <row r="128" spans="1:17" x14ac:dyDescent="0.25">
      <c r="A128" s="2" t="s">
        <v>70</v>
      </c>
      <c r="B128" s="2" t="s">
        <v>71</v>
      </c>
      <c r="C128" s="2" t="s">
        <v>72</v>
      </c>
      <c r="D128" s="2" t="s">
        <v>73</v>
      </c>
      <c r="E128" s="2" t="s">
        <v>74</v>
      </c>
      <c r="F128" s="2" t="s">
        <v>75</v>
      </c>
      <c r="G128" s="2" t="s">
        <v>40</v>
      </c>
      <c r="H128" s="2" t="s">
        <v>76</v>
      </c>
      <c r="I128" s="2" t="s">
        <v>20</v>
      </c>
      <c r="J128" s="2" t="s">
        <v>50</v>
      </c>
      <c r="K128" s="2" t="s">
        <v>22</v>
      </c>
      <c r="L128" s="2" t="s">
        <v>23</v>
      </c>
      <c r="M128" t="str">
        <f t="shared" si="9"/>
        <v>59.56</v>
      </c>
      <c r="N128" t="str">
        <f t="shared" si="10"/>
        <v>388.62</v>
      </c>
      <c r="O128" t="str">
        <f t="shared" si="11"/>
        <v>25.22</v>
      </c>
      <c r="P128" t="str">
        <f t="shared" si="12"/>
        <v>808.14</v>
      </c>
      <c r="Q128" t="str">
        <f t="shared" si="13"/>
        <v>15.82</v>
      </c>
    </row>
    <row r="129" spans="1:17" x14ac:dyDescent="0.25">
      <c r="A129" s="2" t="s">
        <v>77</v>
      </c>
      <c r="B129" s="2" t="s">
        <v>78</v>
      </c>
      <c r="C129" s="2" t="s">
        <v>79</v>
      </c>
      <c r="D129" s="2" t="s">
        <v>80</v>
      </c>
      <c r="E129" s="2" t="s">
        <v>81</v>
      </c>
      <c r="F129" s="2" t="s">
        <v>82</v>
      </c>
      <c r="G129" s="2" t="s">
        <v>40</v>
      </c>
      <c r="H129" s="2" t="s">
        <v>19</v>
      </c>
      <c r="I129" s="2" t="s">
        <v>20</v>
      </c>
      <c r="J129" s="2" t="s">
        <v>21</v>
      </c>
      <c r="K129" s="2" t="s">
        <v>22</v>
      </c>
      <c r="L129" s="2" t="s">
        <v>23</v>
      </c>
      <c r="M129" t="str">
        <f t="shared" si="9"/>
        <v>31.73</v>
      </c>
      <c r="N129" t="str">
        <f t="shared" si="10"/>
        <v>86.53</v>
      </c>
      <c r="O129" t="str">
        <f t="shared" si="11"/>
        <v>34.55</v>
      </c>
      <c r="P129" t="str">
        <f t="shared" si="12"/>
        <v>750.78</v>
      </c>
      <c r="Q129" t="str">
        <f t="shared" si="13"/>
        <v>79.47</v>
      </c>
    </row>
    <row r="130" spans="1:17" x14ac:dyDescent="0.25">
      <c r="A130" s="2" t="s">
        <v>83</v>
      </c>
      <c r="B130" s="2" t="s">
        <v>84</v>
      </c>
      <c r="C130" s="2" t="s">
        <v>85</v>
      </c>
      <c r="D130" s="2" t="s">
        <v>86</v>
      </c>
      <c r="E130" s="2" t="s">
        <v>87</v>
      </c>
      <c r="F130" s="2" t="s">
        <v>88</v>
      </c>
      <c r="G130" s="2" t="s">
        <v>18</v>
      </c>
      <c r="H130" s="2" t="s">
        <v>49</v>
      </c>
      <c r="I130" s="2" t="s">
        <v>42</v>
      </c>
      <c r="J130" s="2" t="s">
        <v>31</v>
      </c>
      <c r="K130" s="2" t="s">
        <v>22</v>
      </c>
      <c r="L130" s="2" t="s">
        <v>33</v>
      </c>
      <c r="M130" t="str">
        <f t="shared" si="9"/>
        <v>55.64</v>
      </c>
      <c r="N130" t="str">
        <f t="shared" si="10"/>
        <v>342.03</v>
      </c>
      <c r="O130" t="str">
        <f t="shared" si="11"/>
        <v>2.06</v>
      </c>
      <c r="P130" t="str">
        <f t="shared" si="12"/>
        <v>192.68</v>
      </c>
      <c r="Q130" t="str">
        <f t="shared" si="13"/>
        <v>215.44</v>
      </c>
    </row>
    <row r="131" spans="1:17" x14ac:dyDescent="0.25">
      <c r="A131" s="2" t="s">
        <v>89</v>
      </c>
      <c r="B131" s="2" t="s">
        <v>90</v>
      </c>
      <c r="C131" s="2" t="s">
        <v>91</v>
      </c>
      <c r="D131" s="2" t="s">
        <v>92</v>
      </c>
      <c r="E131" s="2" t="s">
        <v>93</v>
      </c>
      <c r="F131" s="2" t="s">
        <v>94</v>
      </c>
      <c r="G131" s="2" t="s">
        <v>63</v>
      </c>
      <c r="H131" s="2" t="s">
        <v>19</v>
      </c>
      <c r="I131" s="2" t="s">
        <v>30</v>
      </c>
      <c r="J131" s="2" t="s">
        <v>50</v>
      </c>
      <c r="K131" s="2" t="s">
        <v>32</v>
      </c>
      <c r="L131" s="2" t="s">
        <v>33</v>
      </c>
      <c r="M131" t="str">
        <f t="shared" si="9"/>
        <v>71.07</v>
      </c>
      <c r="N131" t="str">
        <f t="shared" si="10"/>
        <v>658.66</v>
      </c>
      <c r="O131" t="str">
        <f t="shared" si="11"/>
        <v>2.38</v>
      </c>
      <c r="P131" t="str">
        <f t="shared" si="12"/>
        <v>1164.43</v>
      </c>
      <c r="Q131" t="str">
        <f t="shared" si="13"/>
        <v>237.84</v>
      </c>
    </row>
    <row r="132" spans="1:17" x14ac:dyDescent="0.25">
      <c r="A132" s="2" t="s">
        <v>95</v>
      </c>
      <c r="B132" s="2" t="s">
        <v>96</v>
      </c>
      <c r="C132" s="2" t="s">
        <v>97</v>
      </c>
      <c r="D132" s="2" t="s">
        <v>98</v>
      </c>
      <c r="E132" s="2" t="s">
        <v>99</v>
      </c>
      <c r="F132" s="2" t="s">
        <v>100</v>
      </c>
      <c r="G132" s="2" t="s">
        <v>18</v>
      </c>
      <c r="H132" s="2" t="s">
        <v>76</v>
      </c>
      <c r="I132" s="2" t="s">
        <v>42</v>
      </c>
      <c r="J132" s="2" t="s">
        <v>21</v>
      </c>
      <c r="K132" s="2" t="s">
        <v>22</v>
      </c>
      <c r="L132" s="2" t="s">
        <v>33</v>
      </c>
      <c r="M132" t="str">
        <f t="shared" ref="M132:M195" si="14">LEFT(A132,(LEN(A132)-LEN(RIGHT(A132,6))))</f>
        <v>70.79</v>
      </c>
      <c r="N132" t="str">
        <f t="shared" si="10"/>
        <v>530.89</v>
      </c>
      <c r="O132" t="str">
        <f t="shared" si="11"/>
        <v>73.97</v>
      </c>
      <c r="P132" t="str">
        <f t="shared" si="12"/>
        <v>1365.85</v>
      </c>
      <c r="Q132" t="str">
        <f t="shared" si="13"/>
        <v>73.85</v>
      </c>
    </row>
    <row r="133" spans="1:17" x14ac:dyDescent="0.25">
      <c r="A133" s="2" t="s">
        <v>101</v>
      </c>
      <c r="B133" s="2" t="s">
        <v>102</v>
      </c>
      <c r="C133" s="2" t="s">
        <v>103</v>
      </c>
      <c r="D133" s="2" t="s">
        <v>104</v>
      </c>
      <c r="E133" s="2" t="s">
        <v>105</v>
      </c>
      <c r="F133" s="2" t="s">
        <v>106</v>
      </c>
      <c r="G133" s="2" t="s">
        <v>18</v>
      </c>
      <c r="H133" s="2" t="s">
        <v>76</v>
      </c>
      <c r="I133" s="2" t="s">
        <v>30</v>
      </c>
      <c r="J133" s="2" t="s">
        <v>21</v>
      </c>
      <c r="K133" s="2" t="s">
        <v>32</v>
      </c>
      <c r="L133" s="2" t="s">
        <v>33</v>
      </c>
      <c r="M133" t="str">
        <f t="shared" si="14"/>
        <v>12.61</v>
      </c>
      <c r="N133" t="str">
        <f t="shared" si="10"/>
        <v>247.05</v>
      </c>
      <c r="O133" t="str">
        <f t="shared" si="11"/>
        <v>28.70</v>
      </c>
      <c r="P133" t="str">
        <f t="shared" si="12"/>
        <v>64.83</v>
      </c>
      <c r="Q133" t="str">
        <f t="shared" si="13"/>
        <v>19.67</v>
      </c>
    </row>
    <row r="134" spans="1:17" x14ac:dyDescent="0.25">
      <c r="A134" s="2" t="s">
        <v>107</v>
      </c>
      <c r="B134" s="2" t="s">
        <v>108</v>
      </c>
      <c r="C134" s="2" t="s">
        <v>109</v>
      </c>
      <c r="D134" s="2" t="s">
        <v>110</v>
      </c>
      <c r="E134" s="2" t="s">
        <v>111</v>
      </c>
      <c r="F134" s="2" t="s">
        <v>112</v>
      </c>
      <c r="G134" s="2" t="s">
        <v>63</v>
      </c>
      <c r="H134" s="2" t="s">
        <v>49</v>
      </c>
      <c r="I134" s="2" t="s">
        <v>20</v>
      </c>
      <c r="J134" s="2" t="s">
        <v>21</v>
      </c>
      <c r="K134" s="2" t="s">
        <v>32</v>
      </c>
      <c r="L134" s="2" t="s">
        <v>33</v>
      </c>
      <c r="M134" t="str">
        <f t="shared" si="14"/>
        <v>17.22</v>
      </c>
      <c r="N134" t="str">
        <f t="shared" si="10"/>
        <v>1240.65</v>
      </c>
      <c r="O134" t="str">
        <f t="shared" si="11"/>
        <v>86.44</v>
      </c>
      <c r="P134" t="str">
        <f t="shared" si="12"/>
        <v>1456.18</v>
      </c>
      <c r="Q134" t="str">
        <f t="shared" si="13"/>
        <v>142.03</v>
      </c>
    </row>
    <row r="135" spans="1:17" x14ac:dyDescent="0.25">
      <c r="A135" s="2" t="s">
        <v>113</v>
      </c>
      <c r="B135" s="2" t="s">
        <v>114</v>
      </c>
      <c r="C135" s="2" t="s">
        <v>115</v>
      </c>
      <c r="D135" s="2" t="s">
        <v>116</v>
      </c>
      <c r="E135" s="2" t="s">
        <v>117</v>
      </c>
      <c r="F135" s="2" t="s">
        <v>118</v>
      </c>
      <c r="G135" s="2" t="s">
        <v>63</v>
      </c>
      <c r="H135" s="2" t="s">
        <v>41</v>
      </c>
      <c r="I135" s="2" t="s">
        <v>20</v>
      </c>
      <c r="J135" s="2" t="s">
        <v>31</v>
      </c>
      <c r="K135" s="2" t="s">
        <v>32</v>
      </c>
      <c r="L135" s="2" t="s">
        <v>33</v>
      </c>
      <c r="M135" t="str">
        <f t="shared" si="14"/>
        <v>66.19</v>
      </c>
      <c r="N135" t="str">
        <f t="shared" si="10"/>
        <v>720.39</v>
      </c>
      <c r="O135" t="str">
        <f t="shared" si="11"/>
        <v>37.80</v>
      </c>
      <c r="P135" t="str">
        <f t="shared" si="12"/>
        <v>1097.66</v>
      </c>
      <c r="Q135" t="str">
        <f t="shared" si="13"/>
        <v>37.53</v>
      </c>
    </row>
    <row r="136" spans="1:17" x14ac:dyDescent="0.25">
      <c r="A136" s="2" t="s">
        <v>119</v>
      </c>
      <c r="B136" s="2" t="s">
        <v>120</v>
      </c>
      <c r="C136" s="2" t="s">
        <v>121</v>
      </c>
      <c r="D136" s="2" t="s">
        <v>122</v>
      </c>
      <c r="E136" s="2" t="s">
        <v>123</v>
      </c>
      <c r="F136" s="2" t="s">
        <v>124</v>
      </c>
      <c r="G136" s="2" t="s">
        <v>40</v>
      </c>
      <c r="H136" s="2" t="s">
        <v>76</v>
      </c>
      <c r="I136" s="2" t="s">
        <v>42</v>
      </c>
      <c r="J136" s="2" t="s">
        <v>50</v>
      </c>
      <c r="K136" s="2" t="s">
        <v>32</v>
      </c>
      <c r="L136" s="2" t="s">
        <v>33</v>
      </c>
      <c r="M136" t="str">
        <f t="shared" si="14"/>
        <v>22.47</v>
      </c>
      <c r="N136" t="str">
        <f t="shared" si="10"/>
        <v>1959.24</v>
      </c>
      <c r="O136" t="str">
        <f t="shared" si="11"/>
        <v>19.19</v>
      </c>
      <c r="P136" t="str">
        <f t="shared" si="12"/>
        <v>1465.60</v>
      </c>
      <c r="Q136" t="str">
        <f t="shared" si="13"/>
        <v>126.44</v>
      </c>
    </row>
    <row r="137" spans="1:17" x14ac:dyDescent="0.25">
      <c r="A137" s="2" t="s">
        <v>125</v>
      </c>
      <c r="B137" s="2" t="s">
        <v>126</v>
      </c>
      <c r="C137" s="2" t="s">
        <v>127</v>
      </c>
      <c r="D137" s="2" t="s">
        <v>128</v>
      </c>
      <c r="E137" s="2" t="s">
        <v>129</v>
      </c>
      <c r="F137" s="2" t="s">
        <v>130</v>
      </c>
      <c r="G137" s="2" t="s">
        <v>63</v>
      </c>
      <c r="H137" s="2" t="s">
        <v>41</v>
      </c>
      <c r="I137" s="2" t="s">
        <v>20</v>
      </c>
      <c r="J137" s="2" t="s">
        <v>21</v>
      </c>
      <c r="K137" s="2" t="s">
        <v>22</v>
      </c>
      <c r="L137" s="2" t="s">
        <v>23</v>
      </c>
      <c r="M137" t="str">
        <f t="shared" si="14"/>
        <v>56.32</v>
      </c>
      <c r="N137" t="str">
        <f t="shared" si="10"/>
        <v>1328.28</v>
      </c>
      <c r="O137" t="str">
        <f t="shared" si="11"/>
        <v>92.45</v>
      </c>
      <c r="P137" t="str">
        <f t="shared" si="12"/>
        <v>1588.47</v>
      </c>
      <c r="Q137" t="str">
        <f t="shared" si="13"/>
        <v>131.78</v>
      </c>
    </row>
    <row r="138" spans="1:17" x14ac:dyDescent="0.25">
      <c r="A138" s="2" t="s">
        <v>131</v>
      </c>
      <c r="B138" s="2" t="s">
        <v>132</v>
      </c>
      <c r="C138" s="2" t="s">
        <v>133</v>
      </c>
      <c r="D138" s="2" t="s">
        <v>134</v>
      </c>
      <c r="E138" s="2" t="s">
        <v>135</v>
      </c>
      <c r="F138" s="2" t="s">
        <v>136</v>
      </c>
      <c r="G138" s="2" t="s">
        <v>40</v>
      </c>
      <c r="H138" s="2" t="s">
        <v>49</v>
      </c>
      <c r="I138" s="2" t="s">
        <v>20</v>
      </c>
      <c r="J138" s="2" t="s">
        <v>31</v>
      </c>
      <c r="K138" s="2" t="s">
        <v>22</v>
      </c>
      <c r="L138" s="2" t="s">
        <v>23</v>
      </c>
      <c r="M138" t="str">
        <f t="shared" si="14"/>
        <v>69.64</v>
      </c>
      <c r="N138" t="str">
        <f t="shared" si="10"/>
        <v>1786.82</v>
      </c>
      <c r="O138" t="str">
        <f t="shared" si="11"/>
        <v>14.77</v>
      </c>
      <c r="P138" t="str">
        <f t="shared" si="12"/>
        <v>493.68</v>
      </c>
      <c r="Q138" t="str">
        <f t="shared" si="13"/>
        <v>101.25</v>
      </c>
    </row>
    <row r="139" spans="1:17" x14ac:dyDescent="0.25">
      <c r="A139" s="2" t="s">
        <v>137</v>
      </c>
      <c r="B139" s="2" t="s">
        <v>138</v>
      </c>
      <c r="C139" s="2" t="s">
        <v>139</v>
      </c>
      <c r="D139" s="2" t="s">
        <v>140</v>
      </c>
      <c r="E139" s="2" t="s">
        <v>141</v>
      </c>
      <c r="F139" s="2" t="s">
        <v>142</v>
      </c>
      <c r="G139" s="2" t="s">
        <v>63</v>
      </c>
      <c r="H139" s="2" t="s">
        <v>19</v>
      </c>
      <c r="I139" s="2" t="s">
        <v>20</v>
      </c>
      <c r="J139" s="2" t="s">
        <v>50</v>
      </c>
      <c r="K139" s="2" t="s">
        <v>22</v>
      </c>
      <c r="L139" s="2" t="s">
        <v>23</v>
      </c>
      <c r="M139" t="str">
        <f t="shared" si="14"/>
        <v>29.29</v>
      </c>
      <c r="N139" t="str">
        <f t="shared" si="10"/>
        <v>1900.56</v>
      </c>
      <c r="O139" t="str">
        <f t="shared" si="11"/>
        <v>19.14</v>
      </c>
      <c r="P139" t="str">
        <f t="shared" si="12"/>
        <v>680.80</v>
      </c>
      <c r="Q139" t="str">
        <f t="shared" si="13"/>
        <v>194.22</v>
      </c>
    </row>
    <row r="140" spans="1:17" x14ac:dyDescent="0.25">
      <c r="A140" s="2" t="s">
        <v>143</v>
      </c>
      <c r="B140" s="2" t="s">
        <v>144</v>
      </c>
      <c r="C140" s="2" t="s">
        <v>145</v>
      </c>
      <c r="D140" s="2" t="s">
        <v>146</v>
      </c>
      <c r="E140" s="2" t="s">
        <v>147</v>
      </c>
      <c r="F140" s="2" t="s">
        <v>82</v>
      </c>
      <c r="G140" s="2" t="s">
        <v>18</v>
      </c>
      <c r="H140" s="2" t="s">
        <v>76</v>
      </c>
      <c r="I140" s="2" t="s">
        <v>30</v>
      </c>
      <c r="J140" s="2" t="s">
        <v>21</v>
      </c>
      <c r="K140" s="2" t="s">
        <v>22</v>
      </c>
      <c r="L140" s="2" t="s">
        <v>23</v>
      </c>
      <c r="M140" t="str">
        <f t="shared" si="14"/>
        <v>118.72</v>
      </c>
      <c r="N140" t="str">
        <f t="shared" ref="N140:N203" si="15">LEFT(C140,(LEN(C140)-LEN(RIGHT(C140,3))))</f>
        <v>106.61</v>
      </c>
      <c r="O140" t="str">
        <f t="shared" ref="O140:O203" si="16">LEFT(D140,(LEN(D140)-LEN(RIGHT(D140,3))))</f>
        <v>6.26</v>
      </c>
      <c r="P140" t="str">
        <f t="shared" ref="P140:P203" si="17">LEFT(E140,(LEN(E140)-LEN(RIGHT(E140,3))))</f>
        <v>1456.91</v>
      </c>
      <c r="Q140" t="str">
        <f t="shared" ref="Q140:Q203" si="18">LEFT(F140,(LEN(F140)-LEN(RIGHT(F140,8))))</f>
        <v>79.47</v>
      </c>
    </row>
    <row r="141" spans="1:17" x14ac:dyDescent="0.25">
      <c r="A141" s="2" t="s">
        <v>148</v>
      </c>
      <c r="B141" s="2" t="s">
        <v>149</v>
      </c>
      <c r="C141" s="2" t="s">
        <v>150</v>
      </c>
      <c r="D141" s="2" t="s">
        <v>151</v>
      </c>
      <c r="E141" s="2" t="s">
        <v>152</v>
      </c>
      <c r="F141" s="2" t="s">
        <v>153</v>
      </c>
      <c r="G141" s="2" t="s">
        <v>63</v>
      </c>
      <c r="H141" s="2" t="s">
        <v>49</v>
      </c>
      <c r="I141" s="2" t="s">
        <v>30</v>
      </c>
      <c r="J141" s="2" t="s">
        <v>50</v>
      </c>
      <c r="K141" s="2" t="s">
        <v>32</v>
      </c>
      <c r="L141" s="2" t="s">
        <v>33</v>
      </c>
      <c r="M141" t="str">
        <f t="shared" si="14"/>
        <v>72.5</v>
      </c>
      <c r="N141" t="str">
        <f t="shared" si="15"/>
        <v>850</v>
      </c>
      <c r="O141" t="str">
        <f t="shared" si="16"/>
        <v>12.5</v>
      </c>
      <c r="P141" t="str">
        <f t="shared" si="17"/>
        <v>1200</v>
      </c>
      <c r="Q141" t="str">
        <f t="shared" si="18"/>
        <v>145</v>
      </c>
    </row>
    <row r="142" spans="1:17" x14ac:dyDescent="0.25">
      <c r="A142" s="2" t="s">
        <v>154</v>
      </c>
      <c r="B142" s="2" t="s">
        <v>155</v>
      </c>
      <c r="C142" s="2" t="s">
        <v>156</v>
      </c>
      <c r="D142" s="2" t="s">
        <v>157</v>
      </c>
      <c r="E142" s="2" t="s">
        <v>158</v>
      </c>
      <c r="F142" s="2" t="s">
        <v>159</v>
      </c>
      <c r="G142" s="2" t="s">
        <v>18</v>
      </c>
      <c r="H142" s="2" t="s">
        <v>76</v>
      </c>
      <c r="I142" s="2" t="s">
        <v>20</v>
      </c>
      <c r="J142" s="2" t="s">
        <v>21</v>
      </c>
      <c r="K142" s="2" t="s">
        <v>22</v>
      </c>
      <c r="L142" s="2" t="s">
        <v>23</v>
      </c>
      <c r="M142" t="str">
        <f t="shared" si="14"/>
        <v>48.3</v>
      </c>
      <c r="N142" t="str">
        <f t="shared" si="15"/>
        <v>600</v>
      </c>
      <c r="O142" t="str">
        <f t="shared" si="16"/>
        <v>8.3</v>
      </c>
      <c r="P142" t="str">
        <f t="shared" si="17"/>
        <v>950</v>
      </c>
      <c r="Q142" t="str">
        <f t="shared" si="18"/>
        <v>110</v>
      </c>
    </row>
    <row r="143" spans="1:17" x14ac:dyDescent="0.25">
      <c r="A143" s="2" t="s">
        <v>160</v>
      </c>
      <c r="B143" s="2" t="s">
        <v>161</v>
      </c>
      <c r="C143" s="2" t="s">
        <v>162</v>
      </c>
      <c r="D143" s="2" t="s">
        <v>163</v>
      </c>
      <c r="E143" s="2" t="s">
        <v>164</v>
      </c>
      <c r="F143" s="2" t="s">
        <v>165</v>
      </c>
      <c r="G143" s="2" t="s">
        <v>40</v>
      </c>
      <c r="H143" s="2" t="s">
        <v>19</v>
      </c>
      <c r="I143" s="2" t="s">
        <v>42</v>
      </c>
      <c r="J143" s="2" t="s">
        <v>31</v>
      </c>
      <c r="K143" s="2" t="s">
        <v>32</v>
      </c>
      <c r="L143" s="2" t="s">
        <v>33</v>
      </c>
      <c r="M143" t="str">
        <f t="shared" si="14"/>
        <v>96.1</v>
      </c>
      <c r="N143" t="str">
        <f t="shared" si="15"/>
        <v>1300</v>
      </c>
      <c r="O143" t="str">
        <f t="shared" si="16"/>
        <v>15.7</v>
      </c>
      <c r="P143" t="str">
        <f t="shared" si="17"/>
        <v>1800</v>
      </c>
      <c r="Q143" t="str">
        <f t="shared" si="18"/>
        <v>200</v>
      </c>
    </row>
    <row r="144" spans="1:17" x14ac:dyDescent="0.25">
      <c r="A144" s="2" t="s">
        <v>166</v>
      </c>
      <c r="B144" s="2" t="s">
        <v>167</v>
      </c>
      <c r="C144" s="2" t="s">
        <v>168</v>
      </c>
      <c r="D144" s="2" t="s">
        <v>169</v>
      </c>
      <c r="E144" s="2" t="s">
        <v>170</v>
      </c>
      <c r="F144" s="2" t="s">
        <v>171</v>
      </c>
      <c r="G144" s="2" t="s">
        <v>63</v>
      </c>
      <c r="H144" s="2" t="s">
        <v>41</v>
      </c>
      <c r="I144" s="2" t="s">
        <v>30</v>
      </c>
      <c r="J144" s="2" t="s">
        <v>50</v>
      </c>
      <c r="K144" s="2" t="s">
        <v>32</v>
      </c>
      <c r="L144" s="2" t="s">
        <v>23</v>
      </c>
      <c r="M144" t="str">
        <f t="shared" si="14"/>
        <v>24.7</v>
      </c>
      <c r="N144" t="str">
        <f t="shared" si="15"/>
        <v>300</v>
      </c>
      <c r="O144" t="str">
        <f t="shared" si="16"/>
        <v>5.4</v>
      </c>
      <c r="P144" t="str">
        <f t="shared" si="17"/>
        <v>500</v>
      </c>
      <c r="Q144" t="str">
        <f t="shared" si="18"/>
        <v>75</v>
      </c>
    </row>
    <row r="145" spans="1:17" x14ac:dyDescent="0.25">
      <c r="A145" s="2" t="s">
        <v>172</v>
      </c>
      <c r="B145" s="2" t="s">
        <v>173</v>
      </c>
      <c r="C145" s="2" t="s">
        <v>174</v>
      </c>
      <c r="D145" s="2" t="s">
        <v>175</v>
      </c>
      <c r="E145" s="2" t="s">
        <v>176</v>
      </c>
      <c r="F145" s="2" t="s">
        <v>177</v>
      </c>
      <c r="G145" s="2" t="s">
        <v>18</v>
      </c>
      <c r="H145" s="2" t="s">
        <v>49</v>
      </c>
      <c r="I145" s="2" t="s">
        <v>42</v>
      </c>
      <c r="J145" s="2" t="s">
        <v>21</v>
      </c>
      <c r="K145" s="2" t="s">
        <v>22</v>
      </c>
      <c r="L145" s="2" t="s">
        <v>33</v>
      </c>
      <c r="M145" t="str">
        <f t="shared" si="14"/>
        <v>60.0</v>
      </c>
      <c r="N145" t="str">
        <f t="shared" si="15"/>
        <v>1000</v>
      </c>
      <c r="O145" t="str">
        <f t="shared" si="16"/>
        <v>10.2</v>
      </c>
      <c r="P145" t="str">
        <f t="shared" si="17"/>
        <v>1500</v>
      </c>
      <c r="Q145" t="str">
        <f t="shared" si="18"/>
        <v>130</v>
      </c>
    </row>
    <row r="146" spans="1:17" x14ac:dyDescent="0.25">
      <c r="A146" s="2" t="s">
        <v>178</v>
      </c>
      <c r="B146" s="2" t="s">
        <v>179</v>
      </c>
      <c r="C146" s="2" t="s">
        <v>180</v>
      </c>
      <c r="D146" s="2" t="s">
        <v>181</v>
      </c>
      <c r="E146" s="2" t="s">
        <v>182</v>
      </c>
      <c r="F146" s="2" t="s">
        <v>183</v>
      </c>
      <c r="G146" s="2" t="s">
        <v>40</v>
      </c>
      <c r="H146" s="2" t="s">
        <v>76</v>
      </c>
      <c r="I146" s="2" t="s">
        <v>20</v>
      </c>
      <c r="J146" s="2" t="s">
        <v>31</v>
      </c>
      <c r="K146" s="2" t="s">
        <v>32</v>
      </c>
      <c r="L146" s="2" t="s">
        <v>23</v>
      </c>
      <c r="M146" t="str">
        <f t="shared" si="14"/>
        <v>36.5</v>
      </c>
      <c r="N146" t="str">
        <f t="shared" si="15"/>
        <v>750</v>
      </c>
      <c r="O146" t="str">
        <f t="shared" si="16"/>
        <v>7.5</v>
      </c>
      <c r="P146" t="str">
        <f t="shared" si="17"/>
        <v>800</v>
      </c>
      <c r="Q146" t="str">
        <f t="shared" si="18"/>
        <v>90</v>
      </c>
    </row>
    <row r="147" spans="1:17" x14ac:dyDescent="0.25">
      <c r="A147" s="2" t="s">
        <v>184</v>
      </c>
      <c r="B147" s="2" t="s">
        <v>185</v>
      </c>
      <c r="C147" s="2" t="s">
        <v>186</v>
      </c>
      <c r="D147" s="2" t="s">
        <v>187</v>
      </c>
      <c r="E147" s="2" t="s">
        <v>188</v>
      </c>
      <c r="F147" s="2" t="s">
        <v>189</v>
      </c>
      <c r="G147" s="2" t="s">
        <v>63</v>
      </c>
      <c r="H147" s="2" t="s">
        <v>19</v>
      </c>
      <c r="I147" s="2" t="s">
        <v>30</v>
      </c>
      <c r="J147" s="2" t="s">
        <v>50</v>
      </c>
      <c r="K147" s="2" t="s">
        <v>32</v>
      </c>
      <c r="L147" s="2" t="s">
        <v>33</v>
      </c>
      <c r="M147" t="str">
        <f t="shared" si="14"/>
        <v>108.2</v>
      </c>
      <c r="N147" t="str">
        <f t="shared" si="15"/>
        <v>2000</v>
      </c>
      <c r="O147" t="str">
        <f t="shared" si="16"/>
        <v>20.0</v>
      </c>
      <c r="P147" t="str">
        <f t="shared" si="17"/>
        <v>2000</v>
      </c>
      <c r="Q147" t="str">
        <f t="shared" si="18"/>
        <v>220</v>
      </c>
    </row>
    <row r="148" spans="1:17" x14ac:dyDescent="0.25">
      <c r="A148" s="2" t="s">
        <v>190</v>
      </c>
      <c r="B148" s="2" t="s">
        <v>191</v>
      </c>
      <c r="C148" s="2" t="s">
        <v>192</v>
      </c>
      <c r="D148" s="2" t="s">
        <v>193</v>
      </c>
      <c r="E148" s="2" t="s">
        <v>194</v>
      </c>
      <c r="F148" s="2" t="s">
        <v>195</v>
      </c>
      <c r="G148" s="2" t="s">
        <v>18</v>
      </c>
      <c r="H148" s="2" t="s">
        <v>41</v>
      </c>
      <c r="I148" s="2" t="s">
        <v>42</v>
      </c>
      <c r="J148" s="2" t="s">
        <v>21</v>
      </c>
      <c r="K148" s="2" t="s">
        <v>22</v>
      </c>
      <c r="L148" s="2" t="s">
        <v>23</v>
      </c>
      <c r="M148" t="str">
        <f t="shared" si="14"/>
        <v>54.0</v>
      </c>
      <c r="N148" t="str">
        <f t="shared" si="15"/>
        <v>1200</v>
      </c>
      <c r="O148" t="str">
        <f t="shared" si="16"/>
        <v>9.8</v>
      </c>
      <c r="P148" t="str">
        <f t="shared" si="17"/>
        <v>1100</v>
      </c>
      <c r="Q148" t="str">
        <f t="shared" si="18"/>
        <v>140</v>
      </c>
    </row>
    <row r="149" spans="1:17" x14ac:dyDescent="0.25">
      <c r="A149" s="2" t="s">
        <v>196</v>
      </c>
      <c r="B149" s="2" t="s">
        <v>197</v>
      </c>
      <c r="C149" s="2" t="s">
        <v>198</v>
      </c>
      <c r="D149" s="2" t="s">
        <v>199</v>
      </c>
      <c r="E149" s="2" t="s">
        <v>200</v>
      </c>
      <c r="F149" s="2" t="s">
        <v>201</v>
      </c>
      <c r="G149" s="2" t="s">
        <v>40</v>
      </c>
      <c r="H149" s="2" t="s">
        <v>49</v>
      </c>
      <c r="I149" s="2" t="s">
        <v>20</v>
      </c>
      <c r="J149" s="2" t="s">
        <v>31</v>
      </c>
      <c r="K149" s="2" t="s">
        <v>32</v>
      </c>
      <c r="L149" s="2" t="s">
        <v>23</v>
      </c>
      <c r="M149" t="str">
        <f t="shared" si="14"/>
        <v>42.8</v>
      </c>
      <c r="N149" t="str">
        <f t="shared" si="15"/>
        <v>500</v>
      </c>
      <c r="O149" t="str">
        <f t="shared" si="16"/>
        <v>6.3</v>
      </c>
      <c r="P149" t="str">
        <f t="shared" si="17"/>
        <v>600</v>
      </c>
      <c r="Q149" t="str">
        <f t="shared" si="18"/>
        <v>100</v>
      </c>
    </row>
    <row r="150" spans="1:17" x14ac:dyDescent="0.25">
      <c r="A150" s="2" t="s">
        <v>202</v>
      </c>
      <c r="B150" s="2" t="s">
        <v>203</v>
      </c>
      <c r="C150" s="2" t="s">
        <v>204</v>
      </c>
      <c r="D150" s="2" t="s">
        <v>205</v>
      </c>
      <c r="E150" s="2" t="s">
        <v>206</v>
      </c>
      <c r="F150" s="2" t="s">
        <v>207</v>
      </c>
      <c r="G150" s="2" t="s">
        <v>63</v>
      </c>
      <c r="H150" s="2" t="s">
        <v>76</v>
      </c>
      <c r="I150" s="2" t="s">
        <v>30</v>
      </c>
      <c r="J150" s="2" t="s">
        <v>50</v>
      </c>
      <c r="K150" s="2" t="s">
        <v>32</v>
      </c>
      <c r="L150" s="2" t="s">
        <v>33</v>
      </c>
      <c r="M150" t="str">
        <f t="shared" si="14"/>
        <v>90.4</v>
      </c>
      <c r="N150" t="str">
        <f t="shared" si="15"/>
        <v>1500</v>
      </c>
      <c r="O150" t="str">
        <f t="shared" si="16"/>
        <v>18.5</v>
      </c>
      <c r="P150" t="str">
        <f t="shared" si="17"/>
        <v>1750</v>
      </c>
      <c r="Q150" t="str">
        <f t="shared" si="18"/>
        <v>190</v>
      </c>
    </row>
    <row r="151" spans="1:17" x14ac:dyDescent="0.25">
      <c r="A151" s="2" t="s">
        <v>208</v>
      </c>
      <c r="B151" s="2" t="s">
        <v>209</v>
      </c>
      <c r="C151" s="2" t="s">
        <v>210</v>
      </c>
      <c r="D151" s="2" t="s">
        <v>211</v>
      </c>
      <c r="E151" s="2" t="s">
        <v>212</v>
      </c>
      <c r="F151" s="2" t="s">
        <v>213</v>
      </c>
      <c r="G151" s="2" t="s">
        <v>18</v>
      </c>
      <c r="H151" s="2" t="s">
        <v>19</v>
      </c>
      <c r="I151" s="2" t="s">
        <v>20</v>
      </c>
      <c r="J151" s="2" t="s">
        <v>21</v>
      </c>
      <c r="K151" s="2" t="s">
        <v>32</v>
      </c>
      <c r="L151" s="2" t="s">
        <v>33</v>
      </c>
      <c r="M151" t="str">
        <f t="shared" si="14"/>
        <v>12.14</v>
      </c>
      <c r="N151" t="str">
        <f t="shared" si="15"/>
        <v>780.35</v>
      </c>
      <c r="O151" t="str">
        <f t="shared" si="16"/>
        <v>4.14</v>
      </c>
      <c r="P151" t="str">
        <f t="shared" si="17"/>
        <v>158.90</v>
      </c>
      <c r="Q151" t="str">
        <f t="shared" si="18"/>
        <v>45.39</v>
      </c>
    </row>
    <row r="152" spans="1:17" x14ac:dyDescent="0.25">
      <c r="A152" s="2" t="s">
        <v>214</v>
      </c>
      <c r="B152" s="2" t="s">
        <v>215</v>
      </c>
      <c r="C152" s="2" t="s">
        <v>216</v>
      </c>
      <c r="D152" s="2" t="s">
        <v>217</v>
      </c>
      <c r="E152" s="2" t="s">
        <v>218</v>
      </c>
      <c r="F152" s="2" t="s">
        <v>219</v>
      </c>
      <c r="G152" s="2" t="s">
        <v>40</v>
      </c>
      <c r="H152" s="2" t="s">
        <v>41</v>
      </c>
      <c r="I152" s="2" t="s">
        <v>42</v>
      </c>
      <c r="J152" s="2" t="s">
        <v>31</v>
      </c>
      <c r="K152" s="2" t="s">
        <v>32</v>
      </c>
      <c r="L152" s="2" t="s">
        <v>33</v>
      </c>
      <c r="M152" t="str">
        <f t="shared" si="14"/>
        <v>40.66</v>
      </c>
      <c r="N152" t="str">
        <f t="shared" si="15"/>
        <v>1903.89</v>
      </c>
      <c r="O152" t="str">
        <f t="shared" si="16"/>
        <v>37.22</v>
      </c>
      <c r="P152" t="str">
        <f t="shared" si="17"/>
        <v>900.12</v>
      </c>
      <c r="Q152" t="str">
        <f t="shared" si="18"/>
        <v>153.60</v>
      </c>
    </row>
    <row r="153" spans="1:17" x14ac:dyDescent="0.25">
      <c r="A153" s="2" t="s">
        <v>220</v>
      </c>
      <c r="B153" s="2" t="s">
        <v>221</v>
      </c>
      <c r="C153" s="2" t="s">
        <v>222</v>
      </c>
      <c r="D153" s="2" t="s">
        <v>223</v>
      </c>
      <c r="E153" s="2" t="s">
        <v>224</v>
      </c>
      <c r="F153" s="2" t="s">
        <v>225</v>
      </c>
      <c r="G153" s="2" t="s">
        <v>40</v>
      </c>
      <c r="H153" s="2" t="s">
        <v>49</v>
      </c>
      <c r="I153" s="2" t="s">
        <v>20</v>
      </c>
      <c r="J153" s="2" t="s">
        <v>31</v>
      </c>
      <c r="K153" s="2" t="s">
        <v>22</v>
      </c>
      <c r="L153" s="2" t="s">
        <v>23</v>
      </c>
      <c r="M153" t="str">
        <f t="shared" si="14"/>
        <v>34.68</v>
      </c>
      <c r="N153" t="str">
        <f t="shared" si="15"/>
        <v>1477.39</v>
      </c>
      <c r="O153" t="str">
        <f t="shared" si="16"/>
        <v>25.83</v>
      </c>
      <c r="P153" t="str">
        <f t="shared" si="17"/>
        <v>743.11</v>
      </c>
      <c r="Q153" t="str">
        <f t="shared" si="18"/>
        <v>19.97</v>
      </c>
    </row>
    <row r="154" spans="1:17" x14ac:dyDescent="0.25">
      <c r="A154" s="2" t="s">
        <v>226</v>
      </c>
      <c r="B154" s="2" t="s">
        <v>227</v>
      </c>
      <c r="C154" s="2" t="s">
        <v>228</v>
      </c>
      <c r="D154" s="2" t="s">
        <v>229</v>
      </c>
      <c r="E154" s="2" t="s">
        <v>230</v>
      </c>
      <c r="F154" s="2" t="s">
        <v>231</v>
      </c>
      <c r="G154" s="2" t="s">
        <v>40</v>
      </c>
      <c r="H154" s="2" t="s">
        <v>76</v>
      </c>
      <c r="I154" s="2" t="s">
        <v>20</v>
      </c>
      <c r="J154" s="2" t="s">
        <v>21</v>
      </c>
      <c r="K154" s="2" t="s">
        <v>32</v>
      </c>
      <c r="L154" s="2" t="s">
        <v>33</v>
      </c>
      <c r="M154" t="str">
        <f t="shared" si="14"/>
        <v>15.62</v>
      </c>
      <c r="N154" t="str">
        <f t="shared" si="15"/>
        <v>1217.38</v>
      </c>
      <c r="O154" t="str">
        <f t="shared" si="16"/>
        <v>9.96</v>
      </c>
      <c r="P154" t="str">
        <f t="shared" si="17"/>
        <v>308.81</v>
      </c>
      <c r="Q154" t="str">
        <f t="shared" si="18"/>
        <v>273.70</v>
      </c>
    </row>
    <row r="155" spans="1:17" x14ac:dyDescent="0.25">
      <c r="A155" s="2" t="s">
        <v>232</v>
      </c>
      <c r="B155" s="2" t="s">
        <v>233</v>
      </c>
      <c r="C155" s="2" t="s">
        <v>234</v>
      </c>
      <c r="D155" s="2" t="s">
        <v>235</v>
      </c>
      <c r="E155" s="2" t="s">
        <v>236</v>
      </c>
      <c r="F155" s="2" t="s">
        <v>237</v>
      </c>
      <c r="G155" s="2" t="s">
        <v>40</v>
      </c>
      <c r="H155" s="2" t="s">
        <v>41</v>
      </c>
      <c r="I155" s="2" t="s">
        <v>20</v>
      </c>
      <c r="J155" s="2" t="s">
        <v>21</v>
      </c>
      <c r="K155" s="2" t="s">
        <v>22</v>
      </c>
      <c r="L155" s="2" t="s">
        <v>23</v>
      </c>
      <c r="M155" t="str">
        <f t="shared" si="14"/>
        <v>4.51</v>
      </c>
      <c r="N155" t="str">
        <f t="shared" si="15"/>
        <v>354.24</v>
      </c>
      <c r="O155" t="str">
        <f t="shared" si="16"/>
        <v>2.74</v>
      </c>
      <c r="P155" t="str">
        <f t="shared" si="17"/>
        <v>92.20</v>
      </c>
      <c r="Q155" t="str">
        <f t="shared" si="18"/>
        <v>85.05</v>
      </c>
    </row>
    <row r="156" spans="1:17" x14ac:dyDescent="0.25">
      <c r="A156" s="2" t="s">
        <v>238</v>
      </c>
      <c r="B156" s="2" t="s">
        <v>239</v>
      </c>
      <c r="C156" s="2" t="s">
        <v>240</v>
      </c>
      <c r="D156" s="2" t="s">
        <v>241</v>
      </c>
      <c r="E156" s="2" t="s">
        <v>242</v>
      </c>
      <c r="F156" s="2" t="s">
        <v>243</v>
      </c>
      <c r="G156" s="2" t="s">
        <v>40</v>
      </c>
      <c r="H156" s="2" t="s">
        <v>49</v>
      </c>
      <c r="I156" s="2" t="s">
        <v>20</v>
      </c>
      <c r="J156" s="2" t="s">
        <v>21</v>
      </c>
      <c r="K156" s="2" t="s">
        <v>32</v>
      </c>
      <c r="L156" s="2" t="s">
        <v>23</v>
      </c>
      <c r="M156" t="str">
        <f t="shared" si="14"/>
        <v>4.90</v>
      </c>
      <c r="N156" t="str">
        <f t="shared" si="15"/>
        <v>354.19</v>
      </c>
      <c r="O156" t="str">
        <f t="shared" si="16"/>
        <v>2.75</v>
      </c>
      <c r="P156" t="str">
        <f t="shared" si="17"/>
        <v>119.57</v>
      </c>
      <c r="Q156" t="str">
        <f t="shared" si="18"/>
        <v>202.13</v>
      </c>
    </row>
    <row r="157" spans="1:17" x14ac:dyDescent="0.25">
      <c r="A157" s="2" t="s">
        <v>244</v>
      </c>
      <c r="B157" s="2" t="s">
        <v>245</v>
      </c>
      <c r="C157" s="2" t="s">
        <v>246</v>
      </c>
      <c r="D157" s="2" t="s">
        <v>247</v>
      </c>
      <c r="E157" s="2" t="s">
        <v>248</v>
      </c>
      <c r="F157" s="2" t="s">
        <v>249</v>
      </c>
      <c r="G157" s="2" t="s">
        <v>40</v>
      </c>
      <c r="H157" s="2" t="s">
        <v>41</v>
      </c>
      <c r="I157" s="2" t="s">
        <v>30</v>
      </c>
      <c r="J157" s="2" t="s">
        <v>31</v>
      </c>
      <c r="K157" s="2" t="s">
        <v>22</v>
      </c>
      <c r="L157" s="2" t="s">
        <v>33</v>
      </c>
      <c r="M157" t="str">
        <f t="shared" si="14"/>
        <v>3.13</v>
      </c>
      <c r="N157" t="str">
        <f t="shared" si="15"/>
        <v>163.26</v>
      </c>
      <c r="O157" t="str">
        <f t="shared" si="16"/>
        <v>1.56</v>
      </c>
      <c r="P157" t="str">
        <f t="shared" si="17"/>
        <v>40.58</v>
      </c>
      <c r="Q157" t="str">
        <f t="shared" si="18"/>
        <v>100.40</v>
      </c>
    </row>
    <row r="158" spans="1:17" x14ac:dyDescent="0.25">
      <c r="A158" s="2" t="s">
        <v>250</v>
      </c>
      <c r="B158" s="2" t="s">
        <v>251</v>
      </c>
      <c r="C158" s="2" t="s">
        <v>252</v>
      </c>
      <c r="D158" s="2" t="s">
        <v>253</v>
      </c>
      <c r="E158" s="2" t="s">
        <v>254</v>
      </c>
      <c r="F158" s="2" t="s">
        <v>255</v>
      </c>
      <c r="G158" s="2" t="s">
        <v>18</v>
      </c>
      <c r="H158" s="2" t="s">
        <v>49</v>
      </c>
      <c r="I158" s="2" t="s">
        <v>20</v>
      </c>
      <c r="J158" s="2" t="s">
        <v>21</v>
      </c>
      <c r="K158" s="2" t="s">
        <v>32</v>
      </c>
      <c r="L158" s="2" t="s">
        <v>33</v>
      </c>
      <c r="M158" t="str">
        <f t="shared" si="14"/>
        <v>39.61</v>
      </c>
      <c r="N158" t="str">
        <f t="shared" si="15"/>
        <v>1739.04</v>
      </c>
      <c r="O158" t="str">
        <f t="shared" si="16"/>
        <v>22.38</v>
      </c>
      <c r="P158" t="str">
        <f t="shared" si="17"/>
        <v>792.99</v>
      </c>
      <c r="Q158" t="str">
        <f t="shared" si="18"/>
        <v>160.82</v>
      </c>
    </row>
    <row r="159" spans="1:17" x14ac:dyDescent="0.25">
      <c r="A159" s="2" t="s">
        <v>256</v>
      </c>
      <c r="B159" s="2" t="s">
        <v>257</v>
      </c>
      <c r="C159" s="2" t="s">
        <v>258</v>
      </c>
      <c r="D159" s="2" t="s">
        <v>259</v>
      </c>
      <c r="E159" s="2" t="s">
        <v>260</v>
      </c>
      <c r="F159" s="2" t="s">
        <v>261</v>
      </c>
      <c r="G159" s="2" t="s">
        <v>18</v>
      </c>
      <c r="H159" s="2" t="s">
        <v>76</v>
      </c>
      <c r="I159" s="2" t="s">
        <v>20</v>
      </c>
      <c r="J159" s="2" t="s">
        <v>21</v>
      </c>
      <c r="K159" s="2" t="s">
        <v>32</v>
      </c>
      <c r="L159" s="2" t="s">
        <v>23</v>
      </c>
      <c r="M159" t="str">
        <f t="shared" si="14"/>
        <v>18.14</v>
      </c>
      <c r="N159" t="str">
        <f t="shared" si="15"/>
        <v>1222.17</v>
      </c>
      <c r="O159" t="str">
        <f t="shared" si="16"/>
        <v>14.03</v>
      </c>
      <c r="P159" t="str">
        <f t="shared" si="17"/>
        <v>529.93</v>
      </c>
      <c r="Q159" t="str">
        <f t="shared" si="18"/>
        <v>168.55</v>
      </c>
    </row>
    <row r="160" spans="1:17" x14ac:dyDescent="0.25">
      <c r="A160" s="2" t="s">
        <v>262</v>
      </c>
      <c r="B160" s="2" t="s">
        <v>263</v>
      </c>
      <c r="C160" s="2" t="s">
        <v>264</v>
      </c>
      <c r="D160" s="2" t="s">
        <v>265</v>
      </c>
      <c r="E160" s="2" t="s">
        <v>266</v>
      </c>
      <c r="F160" s="2" t="s">
        <v>267</v>
      </c>
      <c r="G160" s="2" t="s">
        <v>40</v>
      </c>
      <c r="H160" s="2" t="s">
        <v>19</v>
      </c>
      <c r="I160" s="2" t="s">
        <v>20</v>
      </c>
      <c r="J160" s="2" t="s">
        <v>31</v>
      </c>
      <c r="K160" s="2" t="s">
        <v>22</v>
      </c>
      <c r="L160" s="2" t="s">
        <v>23</v>
      </c>
      <c r="M160" t="str">
        <f t="shared" si="14"/>
        <v>24.84</v>
      </c>
      <c r="N160" t="str">
        <f t="shared" si="15"/>
        <v>1430.74</v>
      </c>
      <c r="O160" t="str">
        <f t="shared" si="16"/>
        <v>13.40</v>
      </c>
      <c r="P160" t="str">
        <f t="shared" si="17"/>
        <v>286.75</v>
      </c>
      <c r="Q160" t="str">
        <f t="shared" si="18"/>
        <v>63.61</v>
      </c>
    </row>
    <row r="161" spans="1:17" x14ac:dyDescent="0.25">
      <c r="A161" s="2" t="s">
        <v>113</v>
      </c>
      <c r="B161" s="2" t="s">
        <v>114</v>
      </c>
      <c r="C161" s="2" t="s">
        <v>115</v>
      </c>
      <c r="D161" s="2" t="s">
        <v>116</v>
      </c>
      <c r="E161" s="2" t="s">
        <v>117</v>
      </c>
      <c r="F161" s="2" t="s">
        <v>118</v>
      </c>
      <c r="G161" s="2" t="s">
        <v>63</v>
      </c>
      <c r="H161" s="2" t="s">
        <v>41</v>
      </c>
      <c r="I161" s="2" t="s">
        <v>20</v>
      </c>
      <c r="J161" s="2" t="s">
        <v>31</v>
      </c>
      <c r="K161" s="2" t="s">
        <v>32</v>
      </c>
      <c r="L161" s="2" t="s">
        <v>33</v>
      </c>
      <c r="M161" t="str">
        <f t="shared" si="14"/>
        <v>66.19</v>
      </c>
      <c r="N161" t="str">
        <f t="shared" si="15"/>
        <v>720.39</v>
      </c>
      <c r="O161" t="str">
        <f t="shared" si="16"/>
        <v>37.80</v>
      </c>
      <c r="P161" t="str">
        <f t="shared" si="17"/>
        <v>1097.66</v>
      </c>
      <c r="Q161" t="str">
        <f t="shared" si="18"/>
        <v>37.53</v>
      </c>
    </row>
    <row r="162" spans="1:17" x14ac:dyDescent="0.25">
      <c r="A162" s="2" t="s">
        <v>119</v>
      </c>
      <c r="B162" s="2" t="s">
        <v>120</v>
      </c>
      <c r="C162" s="2" t="s">
        <v>121</v>
      </c>
      <c r="D162" s="2" t="s">
        <v>122</v>
      </c>
      <c r="E162" s="2" t="s">
        <v>123</v>
      </c>
      <c r="F162" s="2" t="s">
        <v>124</v>
      </c>
      <c r="G162" s="2" t="s">
        <v>40</v>
      </c>
      <c r="H162" s="2" t="s">
        <v>76</v>
      </c>
      <c r="I162" s="2" t="s">
        <v>42</v>
      </c>
      <c r="J162" s="2" t="s">
        <v>50</v>
      </c>
      <c r="K162" s="2" t="s">
        <v>32</v>
      </c>
      <c r="L162" s="2" t="s">
        <v>33</v>
      </c>
      <c r="M162" t="str">
        <f t="shared" si="14"/>
        <v>22.47</v>
      </c>
      <c r="N162" t="str">
        <f t="shared" si="15"/>
        <v>1959.24</v>
      </c>
      <c r="O162" t="str">
        <f t="shared" si="16"/>
        <v>19.19</v>
      </c>
      <c r="P162" t="str">
        <f t="shared" si="17"/>
        <v>1465.60</v>
      </c>
      <c r="Q162" t="str">
        <f t="shared" si="18"/>
        <v>126.44</v>
      </c>
    </row>
    <row r="163" spans="1:17" x14ac:dyDescent="0.25">
      <c r="A163" s="2" t="s">
        <v>125</v>
      </c>
      <c r="B163" s="2" t="s">
        <v>126</v>
      </c>
      <c r="C163" s="2" t="s">
        <v>127</v>
      </c>
      <c r="D163" s="2" t="s">
        <v>128</v>
      </c>
      <c r="E163" s="2" t="s">
        <v>129</v>
      </c>
      <c r="F163" s="2" t="s">
        <v>130</v>
      </c>
      <c r="G163" s="2" t="s">
        <v>63</v>
      </c>
      <c r="H163" s="2" t="s">
        <v>41</v>
      </c>
      <c r="I163" s="2" t="s">
        <v>20</v>
      </c>
      <c r="J163" s="2" t="s">
        <v>21</v>
      </c>
      <c r="K163" s="2" t="s">
        <v>22</v>
      </c>
      <c r="L163" s="2" t="s">
        <v>23</v>
      </c>
      <c r="M163" t="str">
        <f t="shared" si="14"/>
        <v>56.32</v>
      </c>
      <c r="N163" t="str">
        <f t="shared" si="15"/>
        <v>1328.28</v>
      </c>
      <c r="O163" t="str">
        <f t="shared" si="16"/>
        <v>92.45</v>
      </c>
      <c r="P163" t="str">
        <f t="shared" si="17"/>
        <v>1588.47</v>
      </c>
      <c r="Q163" t="str">
        <f t="shared" si="18"/>
        <v>131.78</v>
      </c>
    </row>
    <row r="164" spans="1:17" x14ac:dyDescent="0.25">
      <c r="A164" s="2" t="s">
        <v>131</v>
      </c>
      <c r="B164" s="2" t="s">
        <v>132</v>
      </c>
      <c r="C164" s="2" t="s">
        <v>133</v>
      </c>
      <c r="D164" s="2" t="s">
        <v>134</v>
      </c>
      <c r="E164" s="2" t="s">
        <v>135</v>
      </c>
      <c r="F164" s="2" t="s">
        <v>136</v>
      </c>
      <c r="G164" s="2" t="s">
        <v>40</v>
      </c>
      <c r="H164" s="2" t="s">
        <v>49</v>
      </c>
      <c r="I164" s="2" t="s">
        <v>20</v>
      </c>
      <c r="J164" s="2" t="s">
        <v>31</v>
      </c>
      <c r="K164" s="2" t="s">
        <v>22</v>
      </c>
      <c r="L164" s="2" t="s">
        <v>23</v>
      </c>
      <c r="M164" t="str">
        <f t="shared" si="14"/>
        <v>69.64</v>
      </c>
      <c r="N164" t="str">
        <f t="shared" si="15"/>
        <v>1786.82</v>
      </c>
      <c r="O164" t="str">
        <f t="shared" si="16"/>
        <v>14.77</v>
      </c>
      <c r="P164" t="str">
        <f t="shared" si="17"/>
        <v>493.68</v>
      </c>
      <c r="Q164" t="str">
        <f t="shared" si="18"/>
        <v>101.25</v>
      </c>
    </row>
    <row r="165" spans="1:17" x14ac:dyDescent="0.25">
      <c r="A165" s="2" t="s">
        <v>137</v>
      </c>
      <c r="B165" s="2" t="s">
        <v>138</v>
      </c>
      <c r="C165" s="2" t="s">
        <v>139</v>
      </c>
      <c r="D165" s="2" t="s">
        <v>140</v>
      </c>
      <c r="E165" s="2" t="s">
        <v>141</v>
      </c>
      <c r="F165" s="2" t="s">
        <v>142</v>
      </c>
      <c r="G165" s="2" t="s">
        <v>63</v>
      </c>
      <c r="H165" s="2" t="s">
        <v>19</v>
      </c>
      <c r="I165" s="2" t="s">
        <v>20</v>
      </c>
      <c r="J165" s="2" t="s">
        <v>50</v>
      </c>
      <c r="K165" s="2" t="s">
        <v>22</v>
      </c>
      <c r="L165" s="2" t="s">
        <v>23</v>
      </c>
      <c r="M165" t="str">
        <f t="shared" si="14"/>
        <v>29.29</v>
      </c>
      <c r="N165" t="str">
        <f t="shared" si="15"/>
        <v>1900.56</v>
      </c>
      <c r="O165" t="str">
        <f t="shared" si="16"/>
        <v>19.14</v>
      </c>
      <c r="P165" t="str">
        <f t="shared" si="17"/>
        <v>680.80</v>
      </c>
      <c r="Q165" t="str">
        <f t="shared" si="18"/>
        <v>194.22</v>
      </c>
    </row>
    <row r="166" spans="1:17" x14ac:dyDescent="0.25">
      <c r="A166" s="2" t="s">
        <v>143</v>
      </c>
      <c r="B166" s="2" t="s">
        <v>144</v>
      </c>
      <c r="C166" s="2" t="s">
        <v>145</v>
      </c>
      <c r="D166" s="2" t="s">
        <v>146</v>
      </c>
      <c r="E166" s="2" t="s">
        <v>147</v>
      </c>
      <c r="F166" s="2" t="s">
        <v>82</v>
      </c>
      <c r="G166" s="2" t="s">
        <v>18</v>
      </c>
      <c r="H166" s="2" t="s">
        <v>76</v>
      </c>
      <c r="I166" s="2" t="s">
        <v>30</v>
      </c>
      <c r="J166" s="2" t="s">
        <v>21</v>
      </c>
      <c r="K166" s="2" t="s">
        <v>22</v>
      </c>
      <c r="L166" s="2" t="s">
        <v>23</v>
      </c>
      <c r="M166" t="str">
        <f t="shared" si="14"/>
        <v>118.72</v>
      </c>
      <c r="N166" t="str">
        <f t="shared" si="15"/>
        <v>106.61</v>
      </c>
      <c r="O166" t="str">
        <f t="shared" si="16"/>
        <v>6.26</v>
      </c>
      <c r="P166" t="str">
        <f t="shared" si="17"/>
        <v>1456.91</v>
      </c>
      <c r="Q166" t="str">
        <f t="shared" si="18"/>
        <v>79.47</v>
      </c>
    </row>
    <row r="167" spans="1:17" x14ac:dyDescent="0.25">
      <c r="A167" s="2" t="s">
        <v>208</v>
      </c>
      <c r="B167" s="2" t="s">
        <v>209</v>
      </c>
      <c r="C167" s="2" t="s">
        <v>210</v>
      </c>
      <c r="D167" s="2" t="s">
        <v>211</v>
      </c>
      <c r="E167" s="2" t="s">
        <v>212</v>
      </c>
      <c r="F167" s="2" t="s">
        <v>213</v>
      </c>
      <c r="G167" s="2" t="s">
        <v>18</v>
      </c>
      <c r="H167" s="2" t="s">
        <v>19</v>
      </c>
      <c r="I167" s="2" t="s">
        <v>20</v>
      </c>
      <c r="J167" s="2" t="s">
        <v>21</v>
      </c>
      <c r="K167" s="2" t="s">
        <v>32</v>
      </c>
      <c r="L167" s="2" t="s">
        <v>33</v>
      </c>
      <c r="M167" t="str">
        <f t="shared" si="14"/>
        <v>12.14</v>
      </c>
      <c r="N167" t="str">
        <f t="shared" si="15"/>
        <v>780.35</v>
      </c>
      <c r="O167" t="str">
        <f t="shared" si="16"/>
        <v>4.14</v>
      </c>
      <c r="P167" t="str">
        <f t="shared" si="17"/>
        <v>158.90</v>
      </c>
      <c r="Q167" t="str">
        <f t="shared" si="18"/>
        <v>45.39</v>
      </c>
    </row>
    <row r="168" spans="1:17" x14ac:dyDescent="0.25">
      <c r="A168" s="2" t="s">
        <v>214</v>
      </c>
      <c r="B168" s="2" t="s">
        <v>215</v>
      </c>
      <c r="C168" s="2" t="s">
        <v>216</v>
      </c>
      <c r="D168" s="2" t="s">
        <v>217</v>
      </c>
      <c r="E168" s="2" t="s">
        <v>218</v>
      </c>
      <c r="F168" s="2" t="s">
        <v>219</v>
      </c>
      <c r="G168" s="2" t="s">
        <v>40</v>
      </c>
      <c r="H168" s="2" t="s">
        <v>41</v>
      </c>
      <c r="I168" s="2" t="s">
        <v>42</v>
      </c>
      <c r="J168" s="2" t="s">
        <v>31</v>
      </c>
      <c r="K168" s="2" t="s">
        <v>32</v>
      </c>
      <c r="L168" s="2" t="s">
        <v>33</v>
      </c>
      <c r="M168" t="str">
        <f t="shared" si="14"/>
        <v>40.66</v>
      </c>
      <c r="N168" t="str">
        <f t="shared" si="15"/>
        <v>1903.89</v>
      </c>
      <c r="O168" t="str">
        <f t="shared" si="16"/>
        <v>37.22</v>
      </c>
      <c r="P168" t="str">
        <f t="shared" si="17"/>
        <v>900.12</v>
      </c>
      <c r="Q168" t="str">
        <f t="shared" si="18"/>
        <v>153.60</v>
      </c>
    </row>
    <row r="169" spans="1:17" x14ac:dyDescent="0.25">
      <c r="A169" s="2" t="s">
        <v>220</v>
      </c>
      <c r="B169" s="2" t="s">
        <v>221</v>
      </c>
      <c r="C169" s="2" t="s">
        <v>222</v>
      </c>
      <c r="D169" s="2" t="s">
        <v>223</v>
      </c>
      <c r="E169" s="2" t="s">
        <v>224</v>
      </c>
      <c r="F169" s="2" t="s">
        <v>225</v>
      </c>
      <c r="G169" s="2" t="s">
        <v>40</v>
      </c>
      <c r="H169" s="2" t="s">
        <v>49</v>
      </c>
      <c r="I169" s="2" t="s">
        <v>20</v>
      </c>
      <c r="J169" s="2" t="s">
        <v>31</v>
      </c>
      <c r="K169" s="2" t="s">
        <v>22</v>
      </c>
      <c r="L169" s="2" t="s">
        <v>23</v>
      </c>
      <c r="M169" t="str">
        <f t="shared" si="14"/>
        <v>34.68</v>
      </c>
      <c r="N169" t="str">
        <f t="shared" si="15"/>
        <v>1477.39</v>
      </c>
      <c r="O169" t="str">
        <f t="shared" si="16"/>
        <v>25.83</v>
      </c>
      <c r="P169" t="str">
        <f t="shared" si="17"/>
        <v>743.11</v>
      </c>
      <c r="Q169" t="str">
        <f t="shared" si="18"/>
        <v>19.97</v>
      </c>
    </row>
    <row r="170" spans="1:17" x14ac:dyDescent="0.25">
      <c r="A170" s="2" t="s">
        <v>226</v>
      </c>
      <c r="B170" s="2" t="s">
        <v>227</v>
      </c>
      <c r="C170" s="2" t="s">
        <v>228</v>
      </c>
      <c r="D170" s="2" t="s">
        <v>229</v>
      </c>
      <c r="E170" s="2" t="s">
        <v>230</v>
      </c>
      <c r="F170" s="2" t="s">
        <v>231</v>
      </c>
      <c r="G170" s="2" t="s">
        <v>40</v>
      </c>
      <c r="H170" s="2" t="s">
        <v>76</v>
      </c>
      <c r="I170" s="2" t="s">
        <v>20</v>
      </c>
      <c r="J170" s="2" t="s">
        <v>21</v>
      </c>
      <c r="K170" s="2" t="s">
        <v>32</v>
      </c>
      <c r="L170" s="2" t="s">
        <v>33</v>
      </c>
      <c r="M170" t="str">
        <f t="shared" si="14"/>
        <v>15.62</v>
      </c>
      <c r="N170" t="str">
        <f t="shared" si="15"/>
        <v>1217.38</v>
      </c>
      <c r="O170" t="str">
        <f t="shared" si="16"/>
        <v>9.96</v>
      </c>
      <c r="P170" t="str">
        <f t="shared" si="17"/>
        <v>308.81</v>
      </c>
      <c r="Q170" t="str">
        <f t="shared" si="18"/>
        <v>273.70</v>
      </c>
    </row>
    <row r="171" spans="1:17" x14ac:dyDescent="0.25">
      <c r="A171" s="2" t="s">
        <v>232</v>
      </c>
      <c r="B171" s="2" t="s">
        <v>233</v>
      </c>
      <c r="C171" s="2" t="s">
        <v>234</v>
      </c>
      <c r="D171" s="2" t="s">
        <v>235</v>
      </c>
      <c r="E171" s="2" t="s">
        <v>236</v>
      </c>
      <c r="F171" s="2" t="s">
        <v>237</v>
      </c>
      <c r="G171" s="2" t="s">
        <v>40</v>
      </c>
      <c r="H171" s="2" t="s">
        <v>41</v>
      </c>
      <c r="I171" s="2" t="s">
        <v>20</v>
      </c>
      <c r="J171" s="2" t="s">
        <v>21</v>
      </c>
      <c r="K171" s="2" t="s">
        <v>22</v>
      </c>
      <c r="L171" s="2" t="s">
        <v>23</v>
      </c>
      <c r="M171" t="str">
        <f t="shared" si="14"/>
        <v>4.51</v>
      </c>
      <c r="N171" t="str">
        <f t="shared" si="15"/>
        <v>354.24</v>
      </c>
      <c r="O171" t="str">
        <f t="shared" si="16"/>
        <v>2.74</v>
      </c>
      <c r="P171" t="str">
        <f t="shared" si="17"/>
        <v>92.20</v>
      </c>
      <c r="Q171" t="str">
        <f t="shared" si="18"/>
        <v>85.05</v>
      </c>
    </row>
    <row r="172" spans="1:17" x14ac:dyDescent="0.25">
      <c r="A172" s="2" t="s">
        <v>238</v>
      </c>
      <c r="B172" s="2" t="s">
        <v>239</v>
      </c>
      <c r="C172" s="2" t="s">
        <v>240</v>
      </c>
      <c r="D172" s="2" t="s">
        <v>241</v>
      </c>
      <c r="E172" s="2" t="s">
        <v>242</v>
      </c>
      <c r="F172" s="2" t="s">
        <v>243</v>
      </c>
      <c r="G172" s="2" t="s">
        <v>40</v>
      </c>
      <c r="H172" s="2" t="s">
        <v>49</v>
      </c>
      <c r="I172" s="2" t="s">
        <v>20</v>
      </c>
      <c r="J172" s="2" t="s">
        <v>21</v>
      </c>
      <c r="K172" s="2" t="s">
        <v>32</v>
      </c>
      <c r="L172" s="2" t="s">
        <v>23</v>
      </c>
      <c r="M172" t="str">
        <f t="shared" si="14"/>
        <v>4.90</v>
      </c>
      <c r="N172" t="str">
        <f t="shared" si="15"/>
        <v>354.19</v>
      </c>
      <c r="O172" t="str">
        <f t="shared" si="16"/>
        <v>2.75</v>
      </c>
      <c r="P172" t="str">
        <f t="shared" si="17"/>
        <v>119.57</v>
      </c>
      <c r="Q172" t="str">
        <f t="shared" si="18"/>
        <v>202.13</v>
      </c>
    </row>
    <row r="173" spans="1:17" x14ac:dyDescent="0.25">
      <c r="A173" s="2" t="s">
        <v>244</v>
      </c>
      <c r="B173" s="2" t="s">
        <v>245</v>
      </c>
      <c r="C173" s="2" t="s">
        <v>246</v>
      </c>
      <c r="D173" s="2" t="s">
        <v>247</v>
      </c>
      <c r="E173" s="2" t="s">
        <v>248</v>
      </c>
      <c r="F173" s="2" t="s">
        <v>249</v>
      </c>
      <c r="G173" s="2" t="s">
        <v>40</v>
      </c>
      <c r="H173" s="2" t="s">
        <v>41</v>
      </c>
      <c r="I173" s="2" t="s">
        <v>30</v>
      </c>
      <c r="J173" s="2" t="s">
        <v>31</v>
      </c>
      <c r="K173" s="2" t="s">
        <v>22</v>
      </c>
      <c r="L173" s="2" t="s">
        <v>33</v>
      </c>
      <c r="M173" t="str">
        <f t="shared" si="14"/>
        <v>3.13</v>
      </c>
      <c r="N173" t="str">
        <f t="shared" si="15"/>
        <v>163.26</v>
      </c>
      <c r="O173" t="str">
        <f t="shared" si="16"/>
        <v>1.56</v>
      </c>
      <c r="P173" t="str">
        <f t="shared" si="17"/>
        <v>40.58</v>
      </c>
      <c r="Q173" t="str">
        <f t="shared" si="18"/>
        <v>100.40</v>
      </c>
    </row>
    <row r="174" spans="1:17" x14ac:dyDescent="0.25">
      <c r="A174" s="2" t="s">
        <v>250</v>
      </c>
      <c r="B174" s="2" t="s">
        <v>251</v>
      </c>
      <c r="C174" s="2" t="s">
        <v>252</v>
      </c>
      <c r="D174" s="2" t="s">
        <v>253</v>
      </c>
      <c r="E174" s="2" t="s">
        <v>254</v>
      </c>
      <c r="F174" s="2" t="s">
        <v>255</v>
      </c>
      <c r="G174" s="2" t="s">
        <v>18</v>
      </c>
      <c r="H174" s="2" t="s">
        <v>49</v>
      </c>
      <c r="I174" s="2" t="s">
        <v>20</v>
      </c>
      <c r="J174" s="2" t="s">
        <v>21</v>
      </c>
      <c r="K174" s="2" t="s">
        <v>32</v>
      </c>
      <c r="L174" s="2" t="s">
        <v>33</v>
      </c>
      <c r="M174" t="str">
        <f t="shared" si="14"/>
        <v>39.61</v>
      </c>
      <c r="N174" t="str">
        <f t="shared" si="15"/>
        <v>1739.04</v>
      </c>
      <c r="O174" t="str">
        <f t="shared" si="16"/>
        <v>22.38</v>
      </c>
      <c r="P174" t="str">
        <f t="shared" si="17"/>
        <v>792.99</v>
      </c>
      <c r="Q174" t="str">
        <f t="shared" si="18"/>
        <v>160.82</v>
      </c>
    </row>
    <row r="175" spans="1:17" x14ac:dyDescent="0.25">
      <c r="A175" s="2" t="s">
        <v>256</v>
      </c>
      <c r="B175" s="2" t="s">
        <v>257</v>
      </c>
      <c r="C175" s="2" t="s">
        <v>258</v>
      </c>
      <c r="D175" s="2" t="s">
        <v>259</v>
      </c>
      <c r="E175" s="2" t="s">
        <v>260</v>
      </c>
      <c r="F175" s="2" t="s">
        <v>261</v>
      </c>
      <c r="G175" s="2" t="s">
        <v>18</v>
      </c>
      <c r="H175" s="2" t="s">
        <v>76</v>
      </c>
      <c r="I175" s="2" t="s">
        <v>20</v>
      </c>
      <c r="J175" s="2" t="s">
        <v>21</v>
      </c>
      <c r="K175" s="2" t="s">
        <v>32</v>
      </c>
      <c r="L175" s="2" t="s">
        <v>23</v>
      </c>
      <c r="M175" t="str">
        <f t="shared" si="14"/>
        <v>18.14</v>
      </c>
      <c r="N175" t="str">
        <f t="shared" si="15"/>
        <v>1222.17</v>
      </c>
      <c r="O175" t="str">
        <f t="shared" si="16"/>
        <v>14.03</v>
      </c>
      <c r="P175" t="str">
        <f t="shared" si="17"/>
        <v>529.93</v>
      </c>
      <c r="Q175" t="str">
        <f t="shared" si="18"/>
        <v>168.55</v>
      </c>
    </row>
    <row r="176" spans="1:17" x14ac:dyDescent="0.25">
      <c r="A176" s="2" t="s">
        <v>262</v>
      </c>
      <c r="B176" s="2" t="s">
        <v>263</v>
      </c>
      <c r="C176" s="2" t="s">
        <v>264</v>
      </c>
      <c r="D176" s="2" t="s">
        <v>265</v>
      </c>
      <c r="E176" s="2" t="s">
        <v>266</v>
      </c>
      <c r="F176" s="2" t="s">
        <v>267</v>
      </c>
      <c r="G176" s="2" t="s">
        <v>40</v>
      </c>
      <c r="H176" s="2" t="s">
        <v>19</v>
      </c>
      <c r="I176" s="2" t="s">
        <v>20</v>
      </c>
      <c r="J176" s="2" t="s">
        <v>31</v>
      </c>
      <c r="K176" s="2" t="s">
        <v>22</v>
      </c>
      <c r="L176" s="2" t="s">
        <v>23</v>
      </c>
      <c r="M176" t="str">
        <f t="shared" si="14"/>
        <v>24.84</v>
      </c>
      <c r="N176" t="str">
        <f t="shared" si="15"/>
        <v>1430.74</v>
      </c>
      <c r="O176" t="str">
        <f t="shared" si="16"/>
        <v>13.40</v>
      </c>
      <c r="P176" t="str">
        <f t="shared" si="17"/>
        <v>286.75</v>
      </c>
      <c r="Q176" t="str">
        <f t="shared" si="18"/>
        <v>63.61</v>
      </c>
    </row>
    <row r="177" spans="1:17" x14ac:dyDescent="0.25">
      <c r="A177" s="2" t="s">
        <v>107</v>
      </c>
      <c r="B177" s="2" t="s">
        <v>108</v>
      </c>
      <c r="C177" s="2" t="s">
        <v>109</v>
      </c>
      <c r="D177" s="2" t="s">
        <v>110</v>
      </c>
      <c r="E177" s="2" t="s">
        <v>111</v>
      </c>
      <c r="F177" s="2" t="s">
        <v>112</v>
      </c>
      <c r="G177" s="2" t="s">
        <v>63</v>
      </c>
      <c r="H177" s="2" t="s">
        <v>49</v>
      </c>
      <c r="I177" s="2" t="s">
        <v>20</v>
      </c>
      <c r="J177" s="2" t="s">
        <v>21</v>
      </c>
      <c r="K177" s="2" t="s">
        <v>32</v>
      </c>
      <c r="L177" s="2" t="s">
        <v>33</v>
      </c>
      <c r="M177" t="str">
        <f t="shared" si="14"/>
        <v>17.22</v>
      </c>
      <c r="N177" t="str">
        <f t="shared" si="15"/>
        <v>1240.65</v>
      </c>
      <c r="O177" t="str">
        <f t="shared" si="16"/>
        <v>86.44</v>
      </c>
      <c r="P177" t="str">
        <f t="shared" si="17"/>
        <v>1456.18</v>
      </c>
      <c r="Q177" t="str">
        <f t="shared" si="18"/>
        <v>142.03</v>
      </c>
    </row>
    <row r="178" spans="1:17" x14ac:dyDescent="0.25">
      <c r="A178" s="2" t="s">
        <v>113</v>
      </c>
      <c r="B178" s="2" t="s">
        <v>114</v>
      </c>
      <c r="C178" s="2" t="s">
        <v>115</v>
      </c>
      <c r="D178" s="2" t="s">
        <v>116</v>
      </c>
      <c r="E178" s="2" t="s">
        <v>117</v>
      </c>
      <c r="F178" s="2" t="s">
        <v>118</v>
      </c>
      <c r="G178" s="2" t="s">
        <v>63</v>
      </c>
      <c r="H178" s="2" t="s">
        <v>41</v>
      </c>
      <c r="I178" s="2" t="s">
        <v>20</v>
      </c>
      <c r="J178" s="2" t="s">
        <v>31</v>
      </c>
      <c r="K178" s="2" t="s">
        <v>32</v>
      </c>
      <c r="L178" s="2" t="s">
        <v>33</v>
      </c>
      <c r="M178" t="str">
        <f t="shared" si="14"/>
        <v>66.19</v>
      </c>
      <c r="N178" t="str">
        <f t="shared" si="15"/>
        <v>720.39</v>
      </c>
      <c r="O178" t="str">
        <f t="shared" si="16"/>
        <v>37.80</v>
      </c>
      <c r="P178" t="str">
        <f t="shared" si="17"/>
        <v>1097.66</v>
      </c>
      <c r="Q178" t="str">
        <f t="shared" si="18"/>
        <v>37.53</v>
      </c>
    </row>
    <row r="179" spans="1:17" x14ac:dyDescent="0.25">
      <c r="A179" s="2" t="s">
        <v>119</v>
      </c>
      <c r="B179" s="2" t="s">
        <v>120</v>
      </c>
      <c r="C179" s="2" t="s">
        <v>121</v>
      </c>
      <c r="D179" s="2" t="s">
        <v>122</v>
      </c>
      <c r="E179" s="2" t="s">
        <v>123</v>
      </c>
      <c r="F179" s="2" t="s">
        <v>124</v>
      </c>
      <c r="G179" s="2" t="s">
        <v>40</v>
      </c>
      <c r="H179" s="2" t="s">
        <v>76</v>
      </c>
      <c r="I179" s="2" t="s">
        <v>42</v>
      </c>
      <c r="J179" s="2" t="s">
        <v>50</v>
      </c>
      <c r="K179" s="2" t="s">
        <v>32</v>
      </c>
      <c r="L179" s="2" t="s">
        <v>33</v>
      </c>
      <c r="M179" t="str">
        <f t="shared" si="14"/>
        <v>22.47</v>
      </c>
      <c r="N179" t="str">
        <f t="shared" si="15"/>
        <v>1959.24</v>
      </c>
      <c r="O179" t="str">
        <f t="shared" si="16"/>
        <v>19.19</v>
      </c>
      <c r="P179" t="str">
        <f t="shared" si="17"/>
        <v>1465.60</v>
      </c>
      <c r="Q179" t="str">
        <f t="shared" si="18"/>
        <v>126.44</v>
      </c>
    </row>
    <row r="180" spans="1:17" x14ac:dyDescent="0.25">
      <c r="A180" s="2" t="s">
        <v>125</v>
      </c>
      <c r="B180" s="2" t="s">
        <v>126</v>
      </c>
      <c r="C180" s="2" t="s">
        <v>127</v>
      </c>
      <c r="D180" s="2" t="s">
        <v>128</v>
      </c>
      <c r="E180" s="2" t="s">
        <v>129</v>
      </c>
      <c r="F180" s="2" t="s">
        <v>130</v>
      </c>
      <c r="G180" s="2" t="s">
        <v>63</v>
      </c>
      <c r="H180" s="2" t="s">
        <v>41</v>
      </c>
      <c r="I180" s="2" t="s">
        <v>20</v>
      </c>
      <c r="J180" s="2" t="s">
        <v>21</v>
      </c>
      <c r="K180" s="2" t="s">
        <v>22</v>
      </c>
      <c r="L180" s="2" t="s">
        <v>23</v>
      </c>
      <c r="M180" t="str">
        <f t="shared" si="14"/>
        <v>56.32</v>
      </c>
      <c r="N180" t="str">
        <f t="shared" si="15"/>
        <v>1328.28</v>
      </c>
      <c r="O180" t="str">
        <f t="shared" si="16"/>
        <v>92.45</v>
      </c>
      <c r="P180" t="str">
        <f t="shared" si="17"/>
        <v>1588.47</v>
      </c>
      <c r="Q180" t="str">
        <f t="shared" si="18"/>
        <v>131.78</v>
      </c>
    </row>
    <row r="181" spans="1:17" x14ac:dyDescent="0.25">
      <c r="A181" s="2" t="s">
        <v>131</v>
      </c>
      <c r="B181" s="2" t="s">
        <v>132</v>
      </c>
      <c r="C181" s="2" t="s">
        <v>133</v>
      </c>
      <c r="D181" s="2" t="s">
        <v>134</v>
      </c>
      <c r="E181" s="2" t="s">
        <v>135</v>
      </c>
      <c r="F181" s="2" t="s">
        <v>136</v>
      </c>
      <c r="G181" s="2" t="s">
        <v>40</v>
      </c>
      <c r="H181" s="2" t="s">
        <v>49</v>
      </c>
      <c r="I181" s="2" t="s">
        <v>20</v>
      </c>
      <c r="J181" s="2" t="s">
        <v>31</v>
      </c>
      <c r="K181" s="2" t="s">
        <v>22</v>
      </c>
      <c r="L181" s="2" t="s">
        <v>23</v>
      </c>
      <c r="M181" t="str">
        <f t="shared" si="14"/>
        <v>69.64</v>
      </c>
      <c r="N181" t="str">
        <f t="shared" si="15"/>
        <v>1786.82</v>
      </c>
      <c r="O181" t="str">
        <f t="shared" si="16"/>
        <v>14.77</v>
      </c>
      <c r="P181" t="str">
        <f t="shared" si="17"/>
        <v>493.68</v>
      </c>
      <c r="Q181" t="str">
        <f t="shared" si="18"/>
        <v>101.25</v>
      </c>
    </row>
    <row r="182" spans="1:17" x14ac:dyDescent="0.25">
      <c r="A182" s="2" t="s">
        <v>137</v>
      </c>
      <c r="B182" s="2" t="s">
        <v>138</v>
      </c>
      <c r="C182" s="2" t="s">
        <v>139</v>
      </c>
      <c r="D182" s="2" t="s">
        <v>140</v>
      </c>
      <c r="E182" s="2" t="s">
        <v>141</v>
      </c>
      <c r="F182" s="2" t="s">
        <v>142</v>
      </c>
      <c r="G182" s="2" t="s">
        <v>63</v>
      </c>
      <c r="H182" s="2" t="s">
        <v>19</v>
      </c>
      <c r="I182" s="2" t="s">
        <v>20</v>
      </c>
      <c r="J182" s="2" t="s">
        <v>50</v>
      </c>
      <c r="K182" s="2" t="s">
        <v>22</v>
      </c>
      <c r="L182" s="2" t="s">
        <v>23</v>
      </c>
      <c r="M182" t="str">
        <f t="shared" si="14"/>
        <v>29.29</v>
      </c>
      <c r="N182" t="str">
        <f t="shared" si="15"/>
        <v>1900.56</v>
      </c>
      <c r="O182" t="str">
        <f t="shared" si="16"/>
        <v>19.14</v>
      </c>
      <c r="P182" t="str">
        <f t="shared" si="17"/>
        <v>680.80</v>
      </c>
      <c r="Q182" t="str">
        <f t="shared" si="18"/>
        <v>194.22</v>
      </c>
    </row>
    <row r="183" spans="1:17" x14ac:dyDescent="0.25">
      <c r="A183" s="2" t="s">
        <v>143</v>
      </c>
      <c r="B183" s="2" t="s">
        <v>144</v>
      </c>
      <c r="C183" s="2" t="s">
        <v>145</v>
      </c>
      <c r="D183" s="2" t="s">
        <v>146</v>
      </c>
      <c r="E183" s="2" t="s">
        <v>147</v>
      </c>
      <c r="F183" s="2" t="s">
        <v>82</v>
      </c>
      <c r="G183" s="2" t="s">
        <v>18</v>
      </c>
      <c r="H183" s="2" t="s">
        <v>76</v>
      </c>
      <c r="I183" s="2" t="s">
        <v>30</v>
      </c>
      <c r="J183" s="2" t="s">
        <v>21</v>
      </c>
      <c r="K183" s="2" t="s">
        <v>22</v>
      </c>
      <c r="L183" s="2" t="s">
        <v>23</v>
      </c>
      <c r="M183" t="str">
        <f t="shared" si="14"/>
        <v>118.72</v>
      </c>
      <c r="N183" t="str">
        <f t="shared" si="15"/>
        <v>106.61</v>
      </c>
      <c r="O183" t="str">
        <f t="shared" si="16"/>
        <v>6.26</v>
      </c>
      <c r="P183" t="str">
        <f t="shared" si="17"/>
        <v>1456.91</v>
      </c>
      <c r="Q183" t="str">
        <f t="shared" si="18"/>
        <v>79.47</v>
      </c>
    </row>
    <row r="184" spans="1:17" x14ac:dyDescent="0.25">
      <c r="A184" s="2" t="s">
        <v>148</v>
      </c>
      <c r="B184" s="2" t="s">
        <v>149</v>
      </c>
      <c r="C184" s="2" t="s">
        <v>150</v>
      </c>
      <c r="D184" s="2" t="s">
        <v>151</v>
      </c>
      <c r="E184" s="2" t="s">
        <v>152</v>
      </c>
      <c r="F184" s="2" t="s">
        <v>153</v>
      </c>
      <c r="G184" s="2" t="s">
        <v>63</v>
      </c>
      <c r="H184" s="2" t="s">
        <v>49</v>
      </c>
      <c r="I184" s="2" t="s">
        <v>30</v>
      </c>
      <c r="J184" s="2" t="s">
        <v>50</v>
      </c>
      <c r="K184" s="2" t="s">
        <v>32</v>
      </c>
      <c r="L184" s="2" t="s">
        <v>33</v>
      </c>
      <c r="M184" t="str">
        <f t="shared" si="14"/>
        <v>72.5</v>
      </c>
      <c r="N184" t="str">
        <f t="shared" si="15"/>
        <v>850</v>
      </c>
      <c r="O184" t="str">
        <f t="shared" si="16"/>
        <v>12.5</v>
      </c>
      <c r="P184" t="str">
        <f t="shared" si="17"/>
        <v>1200</v>
      </c>
      <c r="Q184" t="str">
        <f t="shared" si="18"/>
        <v>145</v>
      </c>
    </row>
    <row r="185" spans="1:17" x14ac:dyDescent="0.25">
      <c r="A185" s="2" t="s">
        <v>154</v>
      </c>
      <c r="B185" s="2" t="s">
        <v>155</v>
      </c>
      <c r="C185" s="2" t="s">
        <v>156</v>
      </c>
      <c r="D185" s="2" t="s">
        <v>157</v>
      </c>
      <c r="E185" s="2" t="s">
        <v>158</v>
      </c>
      <c r="F185" s="2" t="s">
        <v>159</v>
      </c>
      <c r="G185" s="2" t="s">
        <v>18</v>
      </c>
      <c r="H185" s="2" t="s">
        <v>76</v>
      </c>
      <c r="I185" s="2" t="s">
        <v>20</v>
      </c>
      <c r="J185" s="2" t="s">
        <v>21</v>
      </c>
      <c r="K185" s="2" t="s">
        <v>22</v>
      </c>
      <c r="L185" s="2" t="s">
        <v>23</v>
      </c>
      <c r="M185" t="str">
        <f t="shared" si="14"/>
        <v>48.3</v>
      </c>
      <c r="N185" t="str">
        <f t="shared" si="15"/>
        <v>600</v>
      </c>
      <c r="O185" t="str">
        <f t="shared" si="16"/>
        <v>8.3</v>
      </c>
      <c r="P185" t="str">
        <f t="shared" si="17"/>
        <v>950</v>
      </c>
      <c r="Q185" t="str">
        <f t="shared" si="18"/>
        <v>110</v>
      </c>
    </row>
    <row r="186" spans="1:17" x14ac:dyDescent="0.25">
      <c r="A186" s="2" t="s">
        <v>160</v>
      </c>
      <c r="B186" s="2" t="s">
        <v>161</v>
      </c>
      <c r="C186" s="2" t="s">
        <v>162</v>
      </c>
      <c r="D186" s="2" t="s">
        <v>163</v>
      </c>
      <c r="E186" s="2" t="s">
        <v>164</v>
      </c>
      <c r="F186" s="2" t="s">
        <v>165</v>
      </c>
      <c r="G186" s="2" t="s">
        <v>40</v>
      </c>
      <c r="H186" s="2" t="s">
        <v>19</v>
      </c>
      <c r="I186" s="2" t="s">
        <v>42</v>
      </c>
      <c r="J186" s="2" t="s">
        <v>31</v>
      </c>
      <c r="K186" s="2" t="s">
        <v>32</v>
      </c>
      <c r="L186" s="2" t="s">
        <v>33</v>
      </c>
      <c r="M186" t="str">
        <f t="shared" si="14"/>
        <v>96.1</v>
      </c>
      <c r="N186" t="str">
        <f t="shared" si="15"/>
        <v>1300</v>
      </c>
      <c r="O186" t="str">
        <f t="shared" si="16"/>
        <v>15.7</v>
      </c>
      <c r="P186" t="str">
        <f t="shared" si="17"/>
        <v>1800</v>
      </c>
      <c r="Q186" t="str">
        <f t="shared" si="18"/>
        <v>200</v>
      </c>
    </row>
    <row r="187" spans="1:17" x14ac:dyDescent="0.25">
      <c r="A187" s="2" t="s">
        <v>208</v>
      </c>
      <c r="B187" s="2" t="s">
        <v>209</v>
      </c>
      <c r="C187" s="2" t="s">
        <v>210</v>
      </c>
      <c r="D187" s="2" t="s">
        <v>211</v>
      </c>
      <c r="E187" s="2" t="s">
        <v>212</v>
      </c>
      <c r="F187" s="2" t="s">
        <v>213</v>
      </c>
      <c r="G187" s="2" t="s">
        <v>18</v>
      </c>
      <c r="H187" s="2" t="s">
        <v>19</v>
      </c>
      <c r="I187" s="2" t="s">
        <v>20</v>
      </c>
      <c r="J187" s="2" t="s">
        <v>21</v>
      </c>
      <c r="K187" s="2" t="s">
        <v>32</v>
      </c>
      <c r="L187" s="2" t="s">
        <v>33</v>
      </c>
      <c r="M187" t="str">
        <f t="shared" si="14"/>
        <v>12.14</v>
      </c>
      <c r="N187" t="str">
        <f t="shared" si="15"/>
        <v>780.35</v>
      </c>
      <c r="O187" t="str">
        <f t="shared" si="16"/>
        <v>4.14</v>
      </c>
      <c r="P187" t="str">
        <f t="shared" si="17"/>
        <v>158.90</v>
      </c>
      <c r="Q187" t="str">
        <f t="shared" si="18"/>
        <v>45.39</v>
      </c>
    </row>
    <row r="188" spans="1:17" x14ac:dyDescent="0.25">
      <c r="A188" s="2" t="s">
        <v>214</v>
      </c>
      <c r="B188" s="2" t="s">
        <v>215</v>
      </c>
      <c r="C188" s="2" t="s">
        <v>216</v>
      </c>
      <c r="D188" s="2" t="s">
        <v>217</v>
      </c>
      <c r="E188" s="2" t="s">
        <v>218</v>
      </c>
      <c r="F188" s="2" t="s">
        <v>219</v>
      </c>
      <c r="G188" s="2" t="s">
        <v>40</v>
      </c>
      <c r="H188" s="2" t="s">
        <v>41</v>
      </c>
      <c r="I188" s="2" t="s">
        <v>42</v>
      </c>
      <c r="J188" s="2" t="s">
        <v>31</v>
      </c>
      <c r="K188" s="2" t="s">
        <v>32</v>
      </c>
      <c r="L188" s="2" t="s">
        <v>33</v>
      </c>
      <c r="M188" t="str">
        <f t="shared" si="14"/>
        <v>40.66</v>
      </c>
      <c r="N188" t="str">
        <f t="shared" si="15"/>
        <v>1903.89</v>
      </c>
      <c r="O188" t="str">
        <f t="shared" si="16"/>
        <v>37.22</v>
      </c>
      <c r="P188" t="str">
        <f t="shared" si="17"/>
        <v>900.12</v>
      </c>
      <c r="Q188" t="str">
        <f t="shared" si="18"/>
        <v>153.60</v>
      </c>
    </row>
    <row r="189" spans="1:17" x14ac:dyDescent="0.25">
      <c r="A189" s="2" t="s">
        <v>220</v>
      </c>
      <c r="B189" s="2" t="s">
        <v>221</v>
      </c>
      <c r="C189" s="2" t="s">
        <v>222</v>
      </c>
      <c r="D189" s="2" t="s">
        <v>223</v>
      </c>
      <c r="E189" s="2" t="s">
        <v>224</v>
      </c>
      <c r="F189" s="2" t="s">
        <v>225</v>
      </c>
      <c r="G189" s="2" t="s">
        <v>40</v>
      </c>
      <c r="H189" s="2" t="s">
        <v>49</v>
      </c>
      <c r="I189" s="2" t="s">
        <v>20</v>
      </c>
      <c r="J189" s="2" t="s">
        <v>31</v>
      </c>
      <c r="K189" s="2" t="s">
        <v>22</v>
      </c>
      <c r="L189" s="2" t="s">
        <v>23</v>
      </c>
      <c r="M189" t="str">
        <f t="shared" si="14"/>
        <v>34.68</v>
      </c>
      <c r="N189" t="str">
        <f t="shared" si="15"/>
        <v>1477.39</v>
      </c>
      <c r="O189" t="str">
        <f t="shared" si="16"/>
        <v>25.83</v>
      </c>
      <c r="P189" t="str">
        <f t="shared" si="17"/>
        <v>743.11</v>
      </c>
      <c r="Q189" t="str">
        <f t="shared" si="18"/>
        <v>19.97</v>
      </c>
    </row>
    <row r="190" spans="1:17" x14ac:dyDescent="0.25">
      <c r="A190" s="2" t="s">
        <v>226</v>
      </c>
      <c r="B190" s="2" t="s">
        <v>227</v>
      </c>
      <c r="C190" s="2" t="s">
        <v>228</v>
      </c>
      <c r="D190" s="2" t="s">
        <v>229</v>
      </c>
      <c r="E190" s="2" t="s">
        <v>230</v>
      </c>
      <c r="F190" s="2" t="s">
        <v>231</v>
      </c>
      <c r="G190" s="2" t="s">
        <v>40</v>
      </c>
      <c r="H190" s="2" t="s">
        <v>76</v>
      </c>
      <c r="I190" s="2" t="s">
        <v>20</v>
      </c>
      <c r="J190" s="2" t="s">
        <v>21</v>
      </c>
      <c r="K190" s="2" t="s">
        <v>32</v>
      </c>
      <c r="L190" s="2" t="s">
        <v>33</v>
      </c>
      <c r="M190" t="str">
        <f t="shared" si="14"/>
        <v>15.62</v>
      </c>
      <c r="N190" t="str">
        <f t="shared" si="15"/>
        <v>1217.38</v>
      </c>
      <c r="O190" t="str">
        <f t="shared" si="16"/>
        <v>9.96</v>
      </c>
      <c r="P190" t="str">
        <f t="shared" si="17"/>
        <v>308.81</v>
      </c>
      <c r="Q190" t="str">
        <f t="shared" si="18"/>
        <v>273.70</v>
      </c>
    </row>
    <row r="191" spans="1:17" x14ac:dyDescent="0.25">
      <c r="A191" s="2" t="s">
        <v>232</v>
      </c>
      <c r="B191" s="2" t="s">
        <v>233</v>
      </c>
      <c r="C191" s="2" t="s">
        <v>234</v>
      </c>
      <c r="D191" s="2" t="s">
        <v>235</v>
      </c>
      <c r="E191" s="2" t="s">
        <v>236</v>
      </c>
      <c r="F191" s="2" t="s">
        <v>237</v>
      </c>
      <c r="G191" s="2" t="s">
        <v>40</v>
      </c>
      <c r="H191" s="2" t="s">
        <v>41</v>
      </c>
      <c r="I191" s="2" t="s">
        <v>20</v>
      </c>
      <c r="J191" s="2" t="s">
        <v>21</v>
      </c>
      <c r="K191" s="2" t="s">
        <v>22</v>
      </c>
      <c r="L191" s="2" t="s">
        <v>23</v>
      </c>
      <c r="M191" t="str">
        <f t="shared" si="14"/>
        <v>4.51</v>
      </c>
      <c r="N191" t="str">
        <f t="shared" si="15"/>
        <v>354.24</v>
      </c>
      <c r="O191" t="str">
        <f t="shared" si="16"/>
        <v>2.74</v>
      </c>
      <c r="P191" t="str">
        <f t="shared" si="17"/>
        <v>92.20</v>
      </c>
      <c r="Q191" t="str">
        <f t="shared" si="18"/>
        <v>85.05</v>
      </c>
    </row>
    <row r="192" spans="1:17" x14ac:dyDescent="0.25">
      <c r="A192" s="2" t="s">
        <v>238</v>
      </c>
      <c r="B192" s="2" t="s">
        <v>239</v>
      </c>
      <c r="C192" s="2" t="s">
        <v>240</v>
      </c>
      <c r="D192" s="2" t="s">
        <v>241</v>
      </c>
      <c r="E192" s="2" t="s">
        <v>242</v>
      </c>
      <c r="F192" s="2" t="s">
        <v>243</v>
      </c>
      <c r="G192" s="2" t="s">
        <v>40</v>
      </c>
      <c r="H192" s="2" t="s">
        <v>49</v>
      </c>
      <c r="I192" s="2" t="s">
        <v>20</v>
      </c>
      <c r="J192" s="2" t="s">
        <v>21</v>
      </c>
      <c r="K192" s="2" t="s">
        <v>32</v>
      </c>
      <c r="L192" s="2" t="s">
        <v>23</v>
      </c>
      <c r="M192" t="str">
        <f t="shared" si="14"/>
        <v>4.90</v>
      </c>
      <c r="N192" t="str">
        <f t="shared" si="15"/>
        <v>354.19</v>
      </c>
      <c r="O192" t="str">
        <f t="shared" si="16"/>
        <v>2.75</v>
      </c>
      <c r="P192" t="str">
        <f t="shared" si="17"/>
        <v>119.57</v>
      </c>
      <c r="Q192" t="str">
        <f t="shared" si="18"/>
        <v>202.13</v>
      </c>
    </row>
    <row r="193" spans="1:17" x14ac:dyDescent="0.25">
      <c r="A193" s="2" t="s">
        <v>244</v>
      </c>
      <c r="B193" s="2" t="s">
        <v>245</v>
      </c>
      <c r="C193" s="2" t="s">
        <v>246</v>
      </c>
      <c r="D193" s="2" t="s">
        <v>247</v>
      </c>
      <c r="E193" s="2" t="s">
        <v>248</v>
      </c>
      <c r="F193" s="2" t="s">
        <v>249</v>
      </c>
      <c r="G193" s="2" t="s">
        <v>40</v>
      </c>
      <c r="H193" s="2" t="s">
        <v>41</v>
      </c>
      <c r="I193" s="2" t="s">
        <v>30</v>
      </c>
      <c r="J193" s="2" t="s">
        <v>31</v>
      </c>
      <c r="K193" s="2" t="s">
        <v>22</v>
      </c>
      <c r="L193" s="2" t="s">
        <v>33</v>
      </c>
      <c r="M193" t="str">
        <f t="shared" si="14"/>
        <v>3.13</v>
      </c>
      <c r="N193" t="str">
        <f t="shared" si="15"/>
        <v>163.26</v>
      </c>
      <c r="O193" t="str">
        <f t="shared" si="16"/>
        <v>1.56</v>
      </c>
      <c r="P193" t="str">
        <f t="shared" si="17"/>
        <v>40.58</v>
      </c>
      <c r="Q193" t="str">
        <f t="shared" si="18"/>
        <v>100.40</v>
      </c>
    </row>
    <row r="194" spans="1:17" x14ac:dyDescent="0.25">
      <c r="A194" s="2" t="s">
        <v>250</v>
      </c>
      <c r="B194" s="2" t="s">
        <v>251</v>
      </c>
      <c r="C194" s="2" t="s">
        <v>252</v>
      </c>
      <c r="D194" s="2" t="s">
        <v>253</v>
      </c>
      <c r="E194" s="2" t="s">
        <v>254</v>
      </c>
      <c r="F194" s="2" t="s">
        <v>255</v>
      </c>
      <c r="G194" s="2" t="s">
        <v>18</v>
      </c>
      <c r="H194" s="2" t="s">
        <v>49</v>
      </c>
      <c r="I194" s="2" t="s">
        <v>20</v>
      </c>
      <c r="J194" s="2" t="s">
        <v>21</v>
      </c>
      <c r="K194" s="2" t="s">
        <v>32</v>
      </c>
      <c r="L194" s="2" t="s">
        <v>33</v>
      </c>
      <c r="M194" t="str">
        <f t="shared" si="14"/>
        <v>39.61</v>
      </c>
      <c r="N194" t="str">
        <f t="shared" si="15"/>
        <v>1739.04</v>
      </c>
      <c r="O194" t="str">
        <f t="shared" si="16"/>
        <v>22.38</v>
      </c>
      <c r="P194" t="str">
        <f t="shared" si="17"/>
        <v>792.99</v>
      </c>
      <c r="Q194" t="str">
        <f t="shared" si="18"/>
        <v>160.82</v>
      </c>
    </row>
    <row r="195" spans="1:17" x14ac:dyDescent="0.25">
      <c r="A195" s="2" t="s">
        <v>256</v>
      </c>
      <c r="B195" s="2" t="s">
        <v>257</v>
      </c>
      <c r="C195" s="2" t="s">
        <v>258</v>
      </c>
      <c r="D195" s="2" t="s">
        <v>259</v>
      </c>
      <c r="E195" s="2" t="s">
        <v>260</v>
      </c>
      <c r="F195" s="2" t="s">
        <v>261</v>
      </c>
      <c r="G195" s="2" t="s">
        <v>18</v>
      </c>
      <c r="H195" s="2" t="s">
        <v>76</v>
      </c>
      <c r="I195" s="2" t="s">
        <v>20</v>
      </c>
      <c r="J195" s="2" t="s">
        <v>21</v>
      </c>
      <c r="K195" s="2" t="s">
        <v>32</v>
      </c>
      <c r="L195" s="2" t="s">
        <v>23</v>
      </c>
      <c r="M195" t="str">
        <f t="shared" si="14"/>
        <v>18.14</v>
      </c>
      <c r="N195" t="str">
        <f t="shared" si="15"/>
        <v>1222.17</v>
      </c>
      <c r="O195" t="str">
        <f t="shared" si="16"/>
        <v>14.03</v>
      </c>
      <c r="P195" t="str">
        <f t="shared" si="17"/>
        <v>529.93</v>
      </c>
      <c r="Q195" t="str">
        <f t="shared" si="18"/>
        <v>168.55</v>
      </c>
    </row>
    <row r="196" spans="1:17" x14ac:dyDescent="0.25">
      <c r="A196" s="2" t="s">
        <v>262</v>
      </c>
      <c r="B196" s="2" t="s">
        <v>263</v>
      </c>
      <c r="C196" s="2" t="s">
        <v>264</v>
      </c>
      <c r="D196" s="2" t="s">
        <v>265</v>
      </c>
      <c r="E196" s="2" t="s">
        <v>266</v>
      </c>
      <c r="F196" s="2" t="s">
        <v>267</v>
      </c>
      <c r="G196" s="2" t="s">
        <v>40</v>
      </c>
      <c r="H196" s="2" t="s">
        <v>19</v>
      </c>
      <c r="I196" s="2" t="s">
        <v>20</v>
      </c>
      <c r="J196" s="2" t="s">
        <v>31</v>
      </c>
      <c r="K196" s="2" t="s">
        <v>22</v>
      </c>
      <c r="L196" s="2" t="s">
        <v>23</v>
      </c>
      <c r="M196" t="str">
        <f t="shared" ref="M196:M259" si="19">LEFT(A196,(LEN(A196)-LEN(RIGHT(A196,6))))</f>
        <v>24.84</v>
      </c>
      <c r="N196" t="str">
        <f t="shared" si="15"/>
        <v>1430.74</v>
      </c>
      <c r="O196" t="str">
        <f t="shared" si="16"/>
        <v>13.40</v>
      </c>
      <c r="P196" t="str">
        <f t="shared" si="17"/>
        <v>286.75</v>
      </c>
      <c r="Q196" t="str">
        <f t="shared" si="18"/>
        <v>63.61</v>
      </c>
    </row>
    <row r="197" spans="1:17" x14ac:dyDescent="0.25">
      <c r="A197" s="2" t="s">
        <v>125</v>
      </c>
      <c r="B197" s="2" t="s">
        <v>126</v>
      </c>
      <c r="C197" s="2" t="s">
        <v>127</v>
      </c>
      <c r="D197" s="2" t="s">
        <v>128</v>
      </c>
      <c r="E197" s="2" t="s">
        <v>129</v>
      </c>
      <c r="F197" s="2" t="s">
        <v>130</v>
      </c>
      <c r="G197" s="2" t="s">
        <v>63</v>
      </c>
      <c r="H197" s="2" t="s">
        <v>41</v>
      </c>
      <c r="I197" s="2" t="s">
        <v>20</v>
      </c>
      <c r="J197" s="2" t="s">
        <v>21</v>
      </c>
      <c r="K197" s="2" t="s">
        <v>22</v>
      </c>
      <c r="L197" s="2" t="s">
        <v>23</v>
      </c>
      <c r="M197" t="str">
        <f t="shared" si="19"/>
        <v>56.32</v>
      </c>
      <c r="N197" t="str">
        <f t="shared" si="15"/>
        <v>1328.28</v>
      </c>
      <c r="O197" t="str">
        <f t="shared" si="16"/>
        <v>92.45</v>
      </c>
      <c r="P197" t="str">
        <f t="shared" si="17"/>
        <v>1588.47</v>
      </c>
      <c r="Q197" t="str">
        <f t="shared" si="18"/>
        <v>131.78</v>
      </c>
    </row>
    <row r="198" spans="1:17" x14ac:dyDescent="0.25">
      <c r="A198" s="2" t="s">
        <v>131</v>
      </c>
      <c r="B198" s="2" t="s">
        <v>132</v>
      </c>
      <c r="C198" s="2" t="s">
        <v>133</v>
      </c>
      <c r="D198" s="2" t="s">
        <v>134</v>
      </c>
      <c r="E198" s="2" t="s">
        <v>135</v>
      </c>
      <c r="F198" s="2" t="s">
        <v>136</v>
      </c>
      <c r="G198" s="2" t="s">
        <v>40</v>
      </c>
      <c r="H198" s="2" t="s">
        <v>49</v>
      </c>
      <c r="I198" s="2" t="s">
        <v>20</v>
      </c>
      <c r="J198" s="2" t="s">
        <v>31</v>
      </c>
      <c r="K198" s="2" t="s">
        <v>22</v>
      </c>
      <c r="L198" s="2" t="s">
        <v>23</v>
      </c>
      <c r="M198" t="str">
        <f t="shared" si="19"/>
        <v>69.64</v>
      </c>
      <c r="N198" t="str">
        <f t="shared" si="15"/>
        <v>1786.82</v>
      </c>
      <c r="O198" t="str">
        <f t="shared" si="16"/>
        <v>14.77</v>
      </c>
      <c r="P198" t="str">
        <f t="shared" si="17"/>
        <v>493.68</v>
      </c>
      <c r="Q198" t="str">
        <f t="shared" si="18"/>
        <v>101.25</v>
      </c>
    </row>
    <row r="199" spans="1:17" x14ac:dyDescent="0.25">
      <c r="A199" s="2" t="s">
        <v>137</v>
      </c>
      <c r="B199" s="2" t="s">
        <v>138</v>
      </c>
      <c r="C199" s="2" t="s">
        <v>139</v>
      </c>
      <c r="D199" s="2" t="s">
        <v>140</v>
      </c>
      <c r="E199" s="2" t="s">
        <v>141</v>
      </c>
      <c r="F199" s="2" t="s">
        <v>142</v>
      </c>
      <c r="G199" s="2" t="s">
        <v>63</v>
      </c>
      <c r="H199" s="2" t="s">
        <v>19</v>
      </c>
      <c r="I199" s="2" t="s">
        <v>20</v>
      </c>
      <c r="J199" s="2" t="s">
        <v>50</v>
      </c>
      <c r="K199" s="2" t="s">
        <v>22</v>
      </c>
      <c r="L199" s="2" t="s">
        <v>23</v>
      </c>
      <c r="M199" t="str">
        <f t="shared" si="19"/>
        <v>29.29</v>
      </c>
      <c r="N199" t="str">
        <f t="shared" si="15"/>
        <v>1900.56</v>
      </c>
      <c r="O199" t="str">
        <f t="shared" si="16"/>
        <v>19.14</v>
      </c>
      <c r="P199" t="str">
        <f t="shared" si="17"/>
        <v>680.80</v>
      </c>
      <c r="Q199" t="str">
        <f t="shared" si="18"/>
        <v>194.22</v>
      </c>
    </row>
    <row r="200" spans="1:17" x14ac:dyDescent="0.25">
      <c r="A200" s="2" t="s">
        <v>143</v>
      </c>
      <c r="B200" s="2" t="s">
        <v>144</v>
      </c>
      <c r="C200" s="2" t="s">
        <v>145</v>
      </c>
      <c r="D200" s="2" t="s">
        <v>146</v>
      </c>
      <c r="E200" s="2" t="s">
        <v>147</v>
      </c>
      <c r="F200" s="2" t="s">
        <v>82</v>
      </c>
      <c r="G200" s="2" t="s">
        <v>18</v>
      </c>
      <c r="H200" s="2" t="s">
        <v>76</v>
      </c>
      <c r="I200" s="2" t="s">
        <v>30</v>
      </c>
      <c r="J200" s="2" t="s">
        <v>21</v>
      </c>
      <c r="K200" s="2" t="s">
        <v>22</v>
      </c>
      <c r="L200" s="2" t="s">
        <v>23</v>
      </c>
      <c r="M200" t="str">
        <f t="shared" si="19"/>
        <v>118.72</v>
      </c>
      <c r="N200" t="str">
        <f t="shared" si="15"/>
        <v>106.61</v>
      </c>
      <c r="O200" t="str">
        <f t="shared" si="16"/>
        <v>6.26</v>
      </c>
      <c r="P200" t="str">
        <f t="shared" si="17"/>
        <v>1456.91</v>
      </c>
      <c r="Q200" t="str">
        <f t="shared" si="18"/>
        <v>79.47</v>
      </c>
    </row>
    <row r="201" spans="1:17" x14ac:dyDescent="0.25">
      <c r="A201" s="2" t="s">
        <v>148</v>
      </c>
      <c r="B201" s="2" t="s">
        <v>149</v>
      </c>
      <c r="C201" s="2" t="s">
        <v>150</v>
      </c>
      <c r="D201" s="2" t="s">
        <v>151</v>
      </c>
      <c r="E201" s="2" t="s">
        <v>152</v>
      </c>
      <c r="F201" s="2" t="s">
        <v>153</v>
      </c>
      <c r="G201" s="2" t="s">
        <v>63</v>
      </c>
      <c r="H201" s="2" t="s">
        <v>49</v>
      </c>
      <c r="I201" s="2" t="s">
        <v>30</v>
      </c>
      <c r="J201" s="2" t="s">
        <v>50</v>
      </c>
      <c r="K201" s="2" t="s">
        <v>32</v>
      </c>
      <c r="L201" s="2" t="s">
        <v>33</v>
      </c>
      <c r="M201" t="str">
        <f t="shared" si="19"/>
        <v>72.5</v>
      </c>
      <c r="N201" t="str">
        <f t="shared" si="15"/>
        <v>850</v>
      </c>
      <c r="O201" t="str">
        <f t="shared" si="16"/>
        <v>12.5</v>
      </c>
      <c r="P201" t="str">
        <f t="shared" si="17"/>
        <v>1200</v>
      </c>
      <c r="Q201" t="str">
        <f t="shared" si="18"/>
        <v>145</v>
      </c>
    </row>
    <row r="202" spans="1:17" x14ac:dyDescent="0.25">
      <c r="A202" s="2" t="s">
        <v>154</v>
      </c>
      <c r="B202" s="2" t="s">
        <v>155</v>
      </c>
      <c r="C202" s="2" t="s">
        <v>156</v>
      </c>
      <c r="D202" s="2" t="s">
        <v>157</v>
      </c>
      <c r="E202" s="2" t="s">
        <v>158</v>
      </c>
      <c r="F202" s="2" t="s">
        <v>159</v>
      </c>
      <c r="G202" s="2" t="s">
        <v>18</v>
      </c>
      <c r="H202" s="2" t="s">
        <v>76</v>
      </c>
      <c r="I202" s="2" t="s">
        <v>20</v>
      </c>
      <c r="J202" s="2" t="s">
        <v>21</v>
      </c>
      <c r="K202" s="2" t="s">
        <v>22</v>
      </c>
      <c r="L202" s="2" t="s">
        <v>23</v>
      </c>
      <c r="M202" t="str">
        <f t="shared" si="19"/>
        <v>48.3</v>
      </c>
      <c r="N202" t="str">
        <f t="shared" si="15"/>
        <v>600</v>
      </c>
      <c r="O202" t="str">
        <f t="shared" si="16"/>
        <v>8.3</v>
      </c>
      <c r="P202" t="str">
        <f t="shared" si="17"/>
        <v>950</v>
      </c>
      <c r="Q202" t="str">
        <f t="shared" si="18"/>
        <v>110</v>
      </c>
    </row>
    <row r="203" spans="1:17" x14ac:dyDescent="0.25">
      <c r="A203" s="2" t="s">
        <v>160</v>
      </c>
      <c r="B203" s="2" t="s">
        <v>161</v>
      </c>
      <c r="C203" s="2" t="s">
        <v>162</v>
      </c>
      <c r="D203" s="2" t="s">
        <v>163</v>
      </c>
      <c r="E203" s="2" t="s">
        <v>164</v>
      </c>
      <c r="F203" s="2" t="s">
        <v>165</v>
      </c>
      <c r="G203" s="2" t="s">
        <v>40</v>
      </c>
      <c r="H203" s="2" t="s">
        <v>19</v>
      </c>
      <c r="I203" s="2" t="s">
        <v>42</v>
      </c>
      <c r="J203" s="2" t="s">
        <v>31</v>
      </c>
      <c r="K203" s="2" t="s">
        <v>32</v>
      </c>
      <c r="L203" s="2" t="s">
        <v>33</v>
      </c>
      <c r="M203" t="str">
        <f t="shared" si="19"/>
        <v>96.1</v>
      </c>
      <c r="N203" t="str">
        <f t="shared" si="15"/>
        <v>1300</v>
      </c>
      <c r="O203" t="str">
        <f t="shared" si="16"/>
        <v>15.7</v>
      </c>
      <c r="P203" t="str">
        <f t="shared" si="17"/>
        <v>1800</v>
      </c>
      <c r="Q203" t="str">
        <f t="shared" si="18"/>
        <v>200</v>
      </c>
    </row>
    <row r="204" spans="1:17" x14ac:dyDescent="0.25">
      <c r="A204" s="2" t="s">
        <v>166</v>
      </c>
      <c r="B204" s="2" t="s">
        <v>167</v>
      </c>
      <c r="C204" s="2" t="s">
        <v>168</v>
      </c>
      <c r="D204" s="2" t="s">
        <v>169</v>
      </c>
      <c r="E204" s="2" t="s">
        <v>170</v>
      </c>
      <c r="F204" s="2" t="s">
        <v>171</v>
      </c>
      <c r="G204" s="2" t="s">
        <v>63</v>
      </c>
      <c r="H204" s="2" t="s">
        <v>41</v>
      </c>
      <c r="I204" s="2" t="s">
        <v>30</v>
      </c>
      <c r="J204" s="2" t="s">
        <v>50</v>
      </c>
      <c r="K204" s="2" t="s">
        <v>32</v>
      </c>
      <c r="L204" s="2" t="s">
        <v>23</v>
      </c>
      <c r="M204" t="str">
        <f t="shared" si="19"/>
        <v>24.7</v>
      </c>
      <c r="N204" t="str">
        <f t="shared" ref="N204:N267" si="20">LEFT(C204,(LEN(C204)-LEN(RIGHT(C204,3))))</f>
        <v>300</v>
      </c>
      <c r="O204" t="str">
        <f t="shared" ref="O204:O267" si="21">LEFT(D204,(LEN(D204)-LEN(RIGHT(D204,3))))</f>
        <v>5.4</v>
      </c>
      <c r="P204" t="str">
        <f t="shared" ref="P204:P267" si="22">LEFT(E204,(LEN(E204)-LEN(RIGHT(E204,3))))</f>
        <v>500</v>
      </c>
      <c r="Q204" t="str">
        <f t="shared" ref="Q204:Q267" si="23">LEFT(F204,(LEN(F204)-LEN(RIGHT(F204,8))))</f>
        <v>75</v>
      </c>
    </row>
    <row r="205" spans="1:17" x14ac:dyDescent="0.25">
      <c r="A205" s="2" t="s">
        <v>172</v>
      </c>
      <c r="B205" s="2" t="s">
        <v>173</v>
      </c>
      <c r="C205" s="2" t="s">
        <v>174</v>
      </c>
      <c r="D205" s="2" t="s">
        <v>175</v>
      </c>
      <c r="E205" s="2" t="s">
        <v>176</v>
      </c>
      <c r="F205" s="2" t="s">
        <v>177</v>
      </c>
      <c r="G205" s="2" t="s">
        <v>18</v>
      </c>
      <c r="H205" s="2" t="s">
        <v>49</v>
      </c>
      <c r="I205" s="2" t="s">
        <v>42</v>
      </c>
      <c r="J205" s="2" t="s">
        <v>21</v>
      </c>
      <c r="K205" s="2" t="s">
        <v>22</v>
      </c>
      <c r="L205" s="2" t="s">
        <v>33</v>
      </c>
      <c r="M205" t="str">
        <f t="shared" si="19"/>
        <v>60.0</v>
      </c>
      <c r="N205" t="str">
        <f t="shared" si="20"/>
        <v>1000</v>
      </c>
      <c r="O205" t="str">
        <f t="shared" si="21"/>
        <v>10.2</v>
      </c>
      <c r="P205" t="str">
        <f t="shared" si="22"/>
        <v>1500</v>
      </c>
      <c r="Q205" t="str">
        <f t="shared" si="23"/>
        <v>130</v>
      </c>
    </row>
    <row r="206" spans="1:17" x14ac:dyDescent="0.25">
      <c r="A206" s="2" t="s">
        <v>178</v>
      </c>
      <c r="B206" s="2" t="s">
        <v>179</v>
      </c>
      <c r="C206" s="2" t="s">
        <v>180</v>
      </c>
      <c r="D206" s="2" t="s">
        <v>181</v>
      </c>
      <c r="E206" s="2" t="s">
        <v>182</v>
      </c>
      <c r="F206" s="2" t="s">
        <v>183</v>
      </c>
      <c r="G206" s="2" t="s">
        <v>40</v>
      </c>
      <c r="H206" s="2" t="s">
        <v>76</v>
      </c>
      <c r="I206" s="2" t="s">
        <v>20</v>
      </c>
      <c r="J206" s="2" t="s">
        <v>31</v>
      </c>
      <c r="K206" s="2" t="s">
        <v>32</v>
      </c>
      <c r="L206" s="2" t="s">
        <v>23</v>
      </c>
      <c r="M206" t="str">
        <f t="shared" si="19"/>
        <v>36.5</v>
      </c>
      <c r="N206" t="str">
        <f t="shared" si="20"/>
        <v>750</v>
      </c>
      <c r="O206" t="str">
        <f t="shared" si="21"/>
        <v>7.5</v>
      </c>
      <c r="P206" t="str">
        <f t="shared" si="22"/>
        <v>800</v>
      </c>
      <c r="Q206" t="str">
        <f t="shared" si="23"/>
        <v>90</v>
      </c>
    </row>
    <row r="207" spans="1:17" x14ac:dyDescent="0.25">
      <c r="A207" s="2" t="s">
        <v>184</v>
      </c>
      <c r="B207" s="2" t="s">
        <v>185</v>
      </c>
      <c r="C207" s="2" t="s">
        <v>186</v>
      </c>
      <c r="D207" s="2" t="s">
        <v>187</v>
      </c>
      <c r="E207" s="2" t="s">
        <v>188</v>
      </c>
      <c r="F207" s="2" t="s">
        <v>189</v>
      </c>
      <c r="G207" s="2" t="s">
        <v>63</v>
      </c>
      <c r="H207" s="2" t="s">
        <v>19</v>
      </c>
      <c r="I207" s="2" t="s">
        <v>30</v>
      </c>
      <c r="J207" s="2" t="s">
        <v>50</v>
      </c>
      <c r="K207" s="2" t="s">
        <v>32</v>
      </c>
      <c r="L207" s="2" t="s">
        <v>33</v>
      </c>
      <c r="M207" t="str">
        <f t="shared" si="19"/>
        <v>108.2</v>
      </c>
      <c r="N207" t="str">
        <f t="shared" si="20"/>
        <v>2000</v>
      </c>
      <c r="O207" t="str">
        <f t="shared" si="21"/>
        <v>20.0</v>
      </c>
      <c r="P207" t="str">
        <f t="shared" si="22"/>
        <v>2000</v>
      </c>
      <c r="Q207" t="str">
        <f t="shared" si="23"/>
        <v>220</v>
      </c>
    </row>
    <row r="208" spans="1:17" x14ac:dyDescent="0.25">
      <c r="A208" s="2" t="s">
        <v>190</v>
      </c>
      <c r="B208" s="2" t="s">
        <v>191</v>
      </c>
      <c r="C208" s="2" t="s">
        <v>192</v>
      </c>
      <c r="D208" s="2" t="s">
        <v>193</v>
      </c>
      <c r="E208" s="2" t="s">
        <v>194</v>
      </c>
      <c r="F208" s="2" t="s">
        <v>195</v>
      </c>
      <c r="G208" s="2" t="s">
        <v>18</v>
      </c>
      <c r="H208" s="2" t="s">
        <v>41</v>
      </c>
      <c r="I208" s="2" t="s">
        <v>42</v>
      </c>
      <c r="J208" s="2" t="s">
        <v>21</v>
      </c>
      <c r="K208" s="2" t="s">
        <v>22</v>
      </c>
      <c r="L208" s="2" t="s">
        <v>23</v>
      </c>
      <c r="M208" t="str">
        <f t="shared" si="19"/>
        <v>54.0</v>
      </c>
      <c r="N208" t="str">
        <f t="shared" si="20"/>
        <v>1200</v>
      </c>
      <c r="O208" t="str">
        <f t="shared" si="21"/>
        <v>9.8</v>
      </c>
      <c r="P208" t="str">
        <f t="shared" si="22"/>
        <v>1100</v>
      </c>
      <c r="Q208" t="str">
        <f t="shared" si="23"/>
        <v>140</v>
      </c>
    </row>
    <row r="209" spans="1:17" x14ac:dyDescent="0.25">
      <c r="A209" s="2" t="s">
        <v>196</v>
      </c>
      <c r="B209" s="2" t="s">
        <v>197</v>
      </c>
      <c r="C209" s="2" t="s">
        <v>198</v>
      </c>
      <c r="D209" s="2" t="s">
        <v>199</v>
      </c>
      <c r="E209" s="2" t="s">
        <v>200</v>
      </c>
      <c r="F209" s="2" t="s">
        <v>201</v>
      </c>
      <c r="G209" s="2" t="s">
        <v>40</v>
      </c>
      <c r="H209" s="2" t="s">
        <v>49</v>
      </c>
      <c r="I209" s="2" t="s">
        <v>20</v>
      </c>
      <c r="J209" s="2" t="s">
        <v>31</v>
      </c>
      <c r="K209" s="2" t="s">
        <v>32</v>
      </c>
      <c r="L209" s="2" t="s">
        <v>23</v>
      </c>
      <c r="M209" t="str">
        <f t="shared" si="19"/>
        <v>42.8</v>
      </c>
      <c r="N209" t="str">
        <f t="shared" si="20"/>
        <v>500</v>
      </c>
      <c r="O209" t="str">
        <f t="shared" si="21"/>
        <v>6.3</v>
      </c>
      <c r="P209" t="str">
        <f t="shared" si="22"/>
        <v>600</v>
      </c>
      <c r="Q209" t="str">
        <f t="shared" si="23"/>
        <v>100</v>
      </c>
    </row>
    <row r="210" spans="1:17" x14ac:dyDescent="0.25">
      <c r="A210" s="2" t="s">
        <v>202</v>
      </c>
      <c r="B210" s="2" t="s">
        <v>203</v>
      </c>
      <c r="C210" s="2" t="s">
        <v>204</v>
      </c>
      <c r="D210" s="2" t="s">
        <v>205</v>
      </c>
      <c r="E210" s="2" t="s">
        <v>206</v>
      </c>
      <c r="F210" s="2" t="s">
        <v>207</v>
      </c>
      <c r="G210" s="2" t="s">
        <v>63</v>
      </c>
      <c r="H210" s="2" t="s">
        <v>76</v>
      </c>
      <c r="I210" s="2" t="s">
        <v>30</v>
      </c>
      <c r="J210" s="2" t="s">
        <v>50</v>
      </c>
      <c r="K210" s="2" t="s">
        <v>32</v>
      </c>
      <c r="L210" s="2" t="s">
        <v>33</v>
      </c>
      <c r="M210" t="str">
        <f t="shared" si="19"/>
        <v>90.4</v>
      </c>
      <c r="N210" t="str">
        <f t="shared" si="20"/>
        <v>1500</v>
      </c>
      <c r="O210" t="str">
        <f t="shared" si="21"/>
        <v>18.5</v>
      </c>
      <c r="P210" t="str">
        <f t="shared" si="22"/>
        <v>1750</v>
      </c>
      <c r="Q210" t="str">
        <f t="shared" si="23"/>
        <v>190</v>
      </c>
    </row>
    <row r="211" spans="1:17" x14ac:dyDescent="0.25">
      <c r="A211" s="2" t="s">
        <v>208</v>
      </c>
      <c r="B211" s="2" t="s">
        <v>209</v>
      </c>
      <c r="C211" s="2" t="s">
        <v>210</v>
      </c>
      <c r="D211" s="2" t="s">
        <v>211</v>
      </c>
      <c r="E211" s="2" t="s">
        <v>212</v>
      </c>
      <c r="F211" s="2" t="s">
        <v>213</v>
      </c>
      <c r="G211" s="2" t="s">
        <v>18</v>
      </c>
      <c r="H211" s="2" t="s">
        <v>19</v>
      </c>
      <c r="I211" s="2" t="s">
        <v>20</v>
      </c>
      <c r="J211" s="2" t="s">
        <v>21</v>
      </c>
      <c r="K211" s="2" t="s">
        <v>32</v>
      </c>
      <c r="L211" s="2" t="s">
        <v>33</v>
      </c>
      <c r="M211" t="str">
        <f t="shared" si="19"/>
        <v>12.14</v>
      </c>
      <c r="N211" t="str">
        <f t="shared" si="20"/>
        <v>780.35</v>
      </c>
      <c r="O211" t="str">
        <f t="shared" si="21"/>
        <v>4.14</v>
      </c>
      <c r="P211" t="str">
        <f t="shared" si="22"/>
        <v>158.90</v>
      </c>
      <c r="Q211" t="str">
        <f t="shared" si="23"/>
        <v>45.39</v>
      </c>
    </row>
    <row r="212" spans="1:17" x14ac:dyDescent="0.25">
      <c r="A212" s="2" t="s">
        <v>214</v>
      </c>
      <c r="B212" s="2" t="s">
        <v>215</v>
      </c>
      <c r="C212" s="2" t="s">
        <v>216</v>
      </c>
      <c r="D212" s="2" t="s">
        <v>217</v>
      </c>
      <c r="E212" s="2" t="s">
        <v>218</v>
      </c>
      <c r="F212" s="2" t="s">
        <v>219</v>
      </c>
      <c r="G212" s="2" t="s">
        <v>40</v>
      </c>
      <c r="H212" s="2" t="s">
        <v>41</v>
      </c>
      <c r="I212" s="2" t="s">
        <v>42</v>
      </c>
      <c r="J212" s="2" t="s">
        <v>31</v>
      </c>
      <c r="K212" s="2" t="s">
        <v>32</v>
      </c>
      <c r="L212" s="2" t="s">
        <v>33</v>
      </c>
      <c r="M212" t="str">
        <f t="shared" si="19"/>
        <v>40.66</v>
      </c>
      <c r="N212" t="str">
        <f t="shared" si="20"/>
        <v>1903.89</v>
      </c>
      <c r="O212" t="str">
        <f t="shared" si="21"/>
        <v>37.22</v>
      </c>
      <c r="P212" t="str">
        <f t="shared" si="22"/>
        <v>900.12</v>
      </c>
      <c r="Q212" t="str">
        <f t="shared" si="23"/>
        <v>153.60</v>
      </c>
    </row>
    <row r="213" spans="1:17" x14ac:dyDescent="0.25">
      <c r="A213" s="2" t="s">
        <v>220</v>
      </c>
      <c r="B213" s="2" t="s">
        <v>221</v>
      </c>
      <c r="C213" s="2" t="s">
        <v>222</v>
      </c>
      <c r="D213" s="2" t="s">
        <v>223</v>
      </c>
      <c r="E213" s="2" t="s">
        <v>224</v>
      </c>
      <c r="F213" s="2" t="s">
        <v>225</v>
      </c>
      <c r="G213" s="2" t="s">
        <v>40</v>
      </c>
      <c r="H213" s="2" t="s">
        <v>49</v>
      </c>
      <c r="I213" s="2" t="s">
        <v>20</v>
      </c>
      <c r="J213" s="2" t="s">
        <v>31</v>
      </c>
      <c r="K213" s="2" t="s">
        <v>22</v>
      </c>
      <c r="L213" s="2" t="s">
        <v>23</v>
      </c>
      <c r="M213" t="str">
        <f t="shared" si="19"/>
        <v>34.68</v>
      </c>
      <c r="N213" t="str">
        <f t="shared" si="20"/>
        <v>1477.39</v>
      </c>
      <c r="O213" t="str">
        <f t="shared" si="21"/>
        <v>25.83</v>
      </c>
      <c r="P213" t="str">
        <f t="shared" si="22"/>
        <v>743.11</v>
      </c>
      <c r="Q213" t="str">
        <f t="shared" si="23"/>
        <v>19.97</v>
      </c>
    </row>
    <row r="214" spans="1:17" x14ac:dyDescent="0.25">
      <c r="A214" s="2" t="s">
        <v>226</v>
      </c>
      <c r="B214" s="2" t="s">
        <v>227</v>
      </c>
      <c r="C214" s="2" t="s">
        <v>228</v>
      </c>
      <c r="D214" s="2" t="s">
        <v>229</v>
      </c>
      <c r="E214" s="2" t="s">
        <v>230</v>
      </c>
      <c r="F214" s="2" t="s">
        <v>231</v>
      </c>
      <c r="G214" s="2" t="s">
        <v>40</v>
      </c>
      <c r="H214" s="2" t="s">
        <v>76</v>
      </c>
      <c r="I214" s="2" t="s">
        <v>20</v>
      </c>
      <c r="J214" s="2" t="s">
        <v>21</v>
      </c>
      <c r="K214" s="2" t="s">
        <v>32</v>
      </c>
      <c r="L214" s="2" t="s">
        <v>33</v>
      </c>
      <c r="M214" t="str">
        <f t="shared" si="19"/>
        <v>15.62</v>
      </c>
      <c r="N214" t="str">
        <f t="shared" si="20"/>
        <v>1217.38</v>
      </c>
      <c r="O214" t="str">
        <f t="shared" si="21"/>
        <v>9.96</v>
      </c>
      <c r="P214" t="str">
        <f t="shared" si="22"/>
        <v>308.81</v>
      </c>
      <c r="Q214" t="str">
        <f t="shared" si="23"/>
        <v>273.70</v>
      </c>
    </row>
    <row r="215" spans="1:17" x14ac:dyDescent="0.25">
      <c r="A215" s="2" t="s">
        <v>232</v>
      </c>
      <c r="B215" s="2" t="s">
        <v>233</v>
      </c>
      <c r="C215" s="2" t="s">
        <v>234</v>
      </c>
      <c r="D215" s="2" t="s">
        <v>235</v>
      </c>
      <c r="E215" s="2" t="s">
        <v>236</v>
      </c>
      <c r="F215" s="2" t="s">
        <v>237</v>
      </c>
      <c r="G215" s="2" t="s">
        <v>40</v>
      </c>
      <c r="H215" s="2" t="s">
        <v>41</v>
      </c>
      <c r="I215" s="2" t="s">
        <v>20</v>
      </c>
      <c r="J215" s="2" t="s">
        <v>21</v>
      </c>
      <c r="K215" s="2" t="s">
        <v>22</v>
      </c>
      <c r="L215" s="2" t="s">
        <v>23</v>
      </c>
      <c r="M215" t="str">
        <f t="shared" si="19"/>
        <v>4.51</v>
      </c>
      <c r="N215" t="str">
        <f t="shared" si="20"/>
        <v>354.24</v>
      </c>
      <c r="O215" t="str">
        <f t="shared" si="21"/>
        <v>2.74</v>
      </c>
      <c r="P215" t="str">
        <f t="shared" si="22"/>
        <v>92.20</v>
      </c>
      <c r="Q215" t="str">
        <f t="shared" si="23"/>
        <v>85.05</v>
      </c>
    </row>
    <row r="216" spans="1:17" x14ac:dyDescent="0.25">
      <c r="A216" s="2" t="s">
        <v>238</v>
      </c>
      <c r="B216" s="2" t="s">
        <v>239</v>
      </c>
      <c r="C216" s="2" t="s">
        <v>240</v>
      </c>
      <c r="D216" s="2" t="s">
        <v>241</v>
      </c>
      <c r="E216" s="2" t="s">
        <v>242</v>
      </c>
      <c r="F216" s="2" t="s">
        <v>243</v>
      </c>
      <c r="G216" s="2" t="s">
        <v>40</v>
      </c>
      <c r="H216" s="2" t="s">
        <v>49</v>
      </c>
      <c r="I216" s="2" t="s">
        <v>20</v>
      </c>
      <c r="J216" s="2" t="s">
        <v>21</v>
      </c>
      <c r="K216" s="2" t="s">
        <v>32</v>
      </c>
      <c r="L216" s="2" t="s">
        <v>23</v>
      </c>
      <c r="M216" t="str">
        <f t="shared" si="19"/>
        <v>4.90</v>
      </c>
      <c r="N216" t="str">
        <f t="shared" si="20"/>
        <v>354.19</v>
      </c>
      <c r="O216" t="str">
        <f t="shared" si="21"/>
        <v>2.75</v>
      </c>
      <c r="P216" t="str">
        <f t="shared" si="22"/>
        <v>119.57</v>
      </c>
      <c r="Q216" t="str">
        <f t="shared" si="23"/>
        <v>202.13</v>
      </c>
    </row>
    <row r="217" spans="1:17" x14ac:dyDescent="0.25">
      <c r="A217" s="2" t="s">
        <v>244</v>
      </c>
      <c r="B217" s="2" t="s">
        <v>245</v>
      </c>
      <c r="C217" s="2" t="s">
        <v>246</v>
      </c>
      <c r="D217" s="2" t="s">
        <v>247</v>
      </c>
      <c r="E217" s="2" t="s">
        <v>248</v>
      </c>
      <c r="F217" s="2" t="s">
        <v>249</v>
      </c>
      <c r="G217" s="2" t="s">
        <v>40</v>
      </c>
      <c r="H217" s="2" t="s">
        <v>41</v>
      </c>
      <c r="I217" s="2" t="s">
        <v>30</v>
      </c>
      <c r="J217" s="2" t="s">
        <v>31</v>
      </c>
      <c r="K217" s="2" t="s">
        <v>22</v>
      </c>
      <c r="L217" s="2" t="s">
        <v>33</v>
      </c>
      <c r="M217" t="str">
        <f t="shared" si="19"/>
        <v>3.13</v>
      </c>
      <c r="N217" t="str">
        <f t="shared" si="20"/>
        <v>163.26</v>
      </c>
      <c r="O217" t="str">
        <f t="shared" si="21"/>
        <v>1.56</v>
      </c>
      <c r="P217" t="str">
        <f t="shared" si="22"/>
        <v>40.58</v>
      </c>
      <c r="Q217" t="str">
        <f t="shared" si="23"/>
        <v>100.40</v>
      </c>
    </row>
    <row r="218" spans="1:17" x14ac:dyDescent="0.25">
      <c r="A218" s="2" t="s">
        <v>250</v>
      </c>
      <c r="B218" s="2" t="s">
        <v>251</v>
      </c>
      <c r="C218" s="2" t="s">
        <v>252</v>
      </c>
      <c r="D218" s="2" t="s">
        <v>253</v>
      </c>
      <c r="E218" s="2" t="s">
        <v>254</v>
      </c>
      <c r="F218" s="2" t="s">
        <v>255</v>
      </c>
      <c r="G218" s="2" t="s">
        <v>18</v>
      </c>
      <c r="H218" s="2" t="s">
        <v>49</v>
      </c>
      <c r="I218" s="2" t="s">
        <v>20</v>
      </c>
      <c r="J218" s="2" t="s">
        <v>21</v>
      </c>
      <c r="K218" s="2" t="s">
        <v>32</v>
      </c>
      <c r="L218" s="2" t="s">
        <v>33</v>
      </c>
      <c r="M218" t="str">
        <f t="shared" si="19"/>
        <v>39.61</v>
      </c>
      <c r="N218" t="str">
        <f t="shared" si="20"/>
        <v>1739.04</v>
      </c>
      <c r="O218" t="str">
        <f t="shared" si="21"/>
        <v>22.38</v>
      </c>
      <c r="P218" t="str">
        <f t="shared" si="22"/>
        <v>792.99</v>
      </c>
      <c r="Q218" t="str">
        <f t="shared" si="23"/>
        <v>160.82</v>
      </c>
    </row>
    <row r="219" spans="1:17" x14ac:dyDescent="0.25">
      <c r="A219" s="2" t="s">
        <v>256</v>
      </c>
      <c r="B219" s="2" t="s">
        <v>257</v>
      </c>
      <c r="C219" s="2" t="s">
        <v>258</v>
      </c>
      <c r="D219" s="2" t="s">
        <v>259</v>
      </c>
      <c r="E219" s="2" t="s">
        <v>260</v>
      </c>
      <c r="F219" s="2" t="s">
        <v>261</v>
      </c>
      <c r="G219" s="2" t="s">
        <v>18</v>
      </c>
      <c r="H219" s="2" t="s">
        <v>76</v>
      </c>
      <c r="I219" s="2" t="s">
        <v>20</v>
      </c>
      <c r="J219" s="2" t="s">
        <v>21</v>
      </c>
      <c r="K219" s="2" t="s">
        <v>32</v>
      </c>
      <c r="L219" s="2" t="s">
        <v>23</v>
      </c>
      <c r="M219" t="str">
        <f t="shared" si="19"/>
        <v>18.14</v>
      </c>
      <c r="N219" t="str">
        <f t="shared" si="20"/>
        <v>1222.17</v>
      </c>
      <c r="O219" t="str">
        <f t="shared" si="21"/>
        <v>14.03</v>
      </c>
      <c r="P219" t="str">
        <f t="shared" si="22"/>
        <v>529.93</v>
      </c>
      <c r="Q219" t="str">
        <f t="shared" si="23"/>
        <v>168.55</v>
      </c>
    </row>
    <row r="220" spans="1:17" x14ac:dyDescent="0.25">
      <c r="A220" s="2" t="s">
        <v>262</v>
      </c>
      <c r="B220" s="2" t="s">
        <v>263</v>
      </c>
      <c r="C220" s="2" t="s">
        <v>264</v>
      </c>
      <c r="D220" s="2" t="s">
        <v>265</v>
      </c>
      <c r="E220" s="2" t="s">
        <v>266</v>
      </c>
      <c r="F220" s="2" t="s">
        <v>267</v>
      </c>
      <c r="G220" s="2" t="s">
        <v>40</v>
      </c>
      <c r="H220" s="2" t="s">
        <v>19</v>
      </c>
      <c r="I220" s="2" t="s">
        <v>20</v>
      </c>
      <c r="J220" s="2" t="s">
        <v>31</v>
      </c>
      <c r="K220" s="2" t="s">
        <v>22</v>
      </c>
      <c r="L220" s="2" t="s">
        <v>23</v>
      </c>
      <c r="M220" t="str">
        <f t="shared" si="19"/>
        <v>24.84</v>
      </c>
      <c r="N220" t="str">
        <f t="shared" si="20"/>
        <v>1430.74</v>
      </c>
      <c r="O220" t="str">
        <f t="shared" si="21"/>
        <v>13.40</v>
      </c>
      <c r="P220" t="str">
        <f t="shared" si="22"/>
        <v>286.75</v>
      </c>
      <c r="Q220" t="str">
        <f t="shared" si="23"/>
        <v>63.61</v>
      </c>
    </row>
    <row r="221" spans="1:17" x14ac:dyDescent="0.25">
      <c r="A221" s="2" t="s">
        <v>101</v>
      </c>
      <c r="B221" s="2" t="s">
        <v>102</v>
      </c>
      <c r="C221" s="2" t="s">
        <v>103</v>
      </c>
      <c r="D221" s="2" t="s">
        <v>104</v>
      </c>
      <c r="E221" s="2" t="s">
        <v>105</v>
      </c>
      <c r="F221" s="2" t="s">
        <v>106</v>
      </c>
      <c r="G221" s="2" t="s">
        <v>18</v>
      </c>
      <c r="H221" s="2" t="s">
        <v>76</v>
      </c>
      <c r="I221" s="2" t="s">
        <v>30</v>
      </c>
      <c r="J221" s="2" t="s">
        <v>21</v>
      </c>
      <c r="K221" s="2" t="s">
        <v>32</v>
      </c>
      <c r="L221" s="2" t="s">
        <v>33</v>
      </c>
      <c r="M221" t="str">
        <f t="shared" si="19"/>
        <v>12.61</v>
      </c>
      <c r="N221" t="str">
        <f t="shared" si="20"/>
        <v>247.05</v>
      </c>
      <c r="O221" t="str">
        <f t="shared" si="21"/>
        <v>28.70</v>
      </c>
      <c r="P221" t="str">
        <f t="shared" si="22"/>
        <v>64.83</v>
      </c>
      <c r="Q221" t="str">
        <f t="shared" si="23"/>
        <v>19.67</v>
      </c>
    </row>
    <row r="222" spans="1:17" x14ac:dyDescent="0.25">
      <c r="A222" s="2" t="s">
        <v>107</v>
      </c>
      <c r="B222" s="2" t="s">
        <v>108</v>
      </c>
      <c r="C222" s="2" t="s">
        <v>109</v>
      </c>
      <c r="D222" s="2" t="s">
        <v>110</v>
      </c>
      <c r="E222" s="2" t="s">
        <v>111</v>
      </c>
      <c r="F222" s="2" t="s">
        <v>112</v>
      </c>
      <c r="G222" s="2" t="s">
        <v>63</v>
      </c>
      <c r="H222" s="2" t="s">
        <v>49</v>
      </c>
      <c r="I222" s="2" t="s">
        <v>20</v>
      </c>
      <c r="J222" s="2" t="s">
        <v>21</v>
      </c>
      <c r="K222" s="2" t="s">
        <v>32</v>
      </c>
      <c r="L222" s="2" t="s">
        <v>33</v>
      </c>
      <c r="M222" t="str">
        <f t="shared" si="19"/>
        <v>17.22</v>
      </c>
      <c r="N222" t="str">
        <f t="shared" si="20"/>
        <v>1240.65</v>
      </c>
      <c r="O222" t="str">
        <f t="shared" si="21"/>
        <v>86.44</v>
      </c>
      <c r="P222" t="str">
        <f t="shared" si="22"/>
        <v>1456.18</v>
      </c>
      <c r="Q222" t="str">
        <f t="shared" si="23"/>
        <v>142.03</v>
      </c>
    </row>
    <row r="223" spans="1:17" x14ac:dyDescent="0.25">
      <c r="A223" s="2" t="s">
        <v>113</v>
      </c>
      <c r="B223" s="2" t="s">
        <v>114</v>
      </c>
      <c r="C223" s="2" t="s">
        <v>115</v>
      </c>
      <c r="D223" s="2" t="s">
        <v>116</v>
      </c>
      <c r="E223" s="2" t="s">
        <v>117</v>
      </c>
      <c r="F223" s="2" t="s">
        <v>118</v>
      </c>
      <c r="G223" s="2" t="s">
        <v>63</v>
      </c>
      <c r="H223" s="2" t="s">
        <v>41</v>
      </c>
      <c r="I223" s="2" t="s">
        <v>20</v>
      </c>
      <c r="J223" s="2" t="s">
        <v>31</v>
      </c>
      <c r="K223" s="2" t="s">
        <v>32</v>
      </c>
      <c r="L223" s="2" t="s">
        <v>33</v>
      </c>
      <c r="M223" t="str">
        <f t="shared" si="19"/>
        <v>66.19</v>
      </c>
      <c r="N223" t="str">
        <f t="shared" si="20"/>
        <v>720.39</v>
      </c>
      <c r="O223" t="str">
        <f t="shared" si="21"/>
        <v>37.80</v>
      </c>
      <c r="P223" t="str">
        <f t="shared" si="22"/>
        <v>1097.66</v>
      </c>
      <c r="Q223" t="str">
        <f t="shared" si="23"/>
        <v>37.53</v>
      </c>
    </row>
    <row r="224" spans="1:17" x14ac:dyDescent="0.25">
      <c r="A224" s="2" t="s">
        <v>119</v>
      </c>
      <c r="B224" s="2" t="s">
        <v>120</v>
      </c>
      <c r="C224" s="2" t="s">
        <v>121</v>
      </c>
      <c r="D224" s="2" t="s">
        <v>122</v>
      </c>
      <c r="E224" s="2" t="s">
        <v>123</v>
      </c>
      <c r="F224" s="2" t="s">
        <v>124</v>
      </c>
      <c r="G224" s="2" t="s">
        <v>40</v>
      </c>
      <c r="H224" s="2" t="s">
        <v>76</v>
      </c>
      <c r="I224" s="2" t="s">
        <v>42</v>
      </c>
      <c r="J224" s="2" t="s">
        <v>50</v>
      </c>
      <c r="K224" s="2" t="s">
        <v>32</v>
      </c>
      <c r="L224" s="2" t="s">
        <v>33</v>
      </c>
      <c r="M224" t="str">
        <f t="shared" si="19"/>
        <v>22.47</v>
      </c>
      <c r="N224" t="str">
        <f t="shared" si="20"/>
        <v>1959.24</v>
      </c>
      <c r="O224" t="str">
        <f t="shared" si="21"/>
        <v>19.19</v>
      </c>
      <c r="P224" t="str">
        <f t="shared" si="22"/>
        <v>1465.60</v>
      </c>
      <c r="Q224" t="str">
        <f t="shared" si="23"/>
        <v>126.44</v>
      </c>
    </row>
    <row r="225" spans="1:17" x14ac:dyDescent="0.25">
      <c r="A225" s="2" t="s">
        <v>125</v>
      </c>
      <c r="B225" s="2" t="s">
        <v>126</v>
      </c>
      <c r="C225" s="2" t="s">
        <v>127</v>
      </c>
      <c r="D225" s="2" t="s">
        <v>128</v>
      </c>
      <c r="E225" s="2" t="s">
        <v>129</v>
      </c>
      <c r="F225" s="2" t="s">
        <v>130</v>
      </c>
      <c r="G225" s="2" t="s">
        <v>63</v>
      </c>
      <c r="H225" s="2" t="s">
        <v>41</v>
      </c>
      <c r="I225" s="2" t="s">
        <v>20</v>
      </c>
      <c r="J225" s="2" t="s">
        <v>21</v>
      </c>
      <c r="K225" s="2" t="s">
        <v>22</v>
      </c>
      <c r="L225" s="2" t="s">
        <v>23</v>
      </c>
      <c r="M225" t="str">
        <f t="shared" si="19"/>
        <v>56.32</v>
      </c>
      <c r="N225" t="str">
        <f t="shared" si="20"/>
        <v>1328.28</v>
      </c>
      <c r="O225" t="str">
        <f t="shared" si="21"/>
        <v>92.45</v>
      </c>
      <c r="P225" t="str">
        <f t="shared" si="22"/>
        <v>1588.47</v>
      </c>
      <c r="Q225" t="str">
        <f t="shared" si="23"/>
        <v>131.78</v>
      </c>
    </row>
    <row r="226" spans="1:17" x14ac:dyDescent="0.25">
      <c r="A226" s="2" t="s">
        <v>131</v>
      </c>
      <c r="B226" s="2" t="s">
        <v>132</v>
      </c>
      <c r="C226" s="2" t="s">
        <v>133</v>
      </c>
      <c r="D226" s="2" t="s">
        <v>134</v>
      </c>
      <c r="E226" s="2" t="s">
        <v>135</v>
      </c>
      <c r="F226" s="2" t="s">
        <v>136</v>
      </c>
      <c r="G226" s="2" t="s">
        <v>40</v>
      </c>
      <c r="H226" s="2" t="s">
        <v>49</v>
      </c>
      <c r="I226" s="2" t="s">
        <v>20</v>
      </c>
      <c r="J226" s="2" t="s">
        <v>31</v>
      </c>
      <c r="K226" s="2" t="s">
        <v>22</v>
      </c>
      <c r="L226" s="2" t="s">
        <v>23</v>
      </c>
      <c r="M226" t="str">
        <f t="shared" si="19"/>
        <v>69.64</v>
      </c>
      <c r="N226" t="str">
        <f t="shared" si="20"/>
        <v>1786.82</v>
      </c>
      <c r="O226" t="str">
        <f t="shared" si="21"/>
        <v>14.77</v>
      </c>
      <c r="P226" t="str">
        <f t="shared" si="22"/>
        <v>493.68</v>
      </c>
      <c r="Q226" t="str">
        <f t="shared" si="23"/>
        <v>101.25</v>
      </c>
    </row>
    <row r="227" spans="1:17" x14ac:dyDescent="0.25">
      <c r="A227" s="2" t="s">
        <v>137</v>
      </c>
      <c r="B227" s="2" t="s">
        <v>138</v>
      </c>
      <c r="C227" s="2" t="s">
        <v>139</v>
      </c>
      <c r="D227" s="2" t="s">
        <v>140</v>
      </c>
      <c r="E227" s="2" t="s">
        <v>141</v>
      </c>
      <c r="F227" s="2" t="s">
        <v>142</v>
      </c>
      <c r="G227" s="2" t="s">
        <v>63</v>
      </c>
      <c r="H227" s="2" t="s">
        <v>19</v>
      </c>
      <c r="I227" s="2" t="s">
        <v>20</v>
      </c>
      <c r="J227" s="2" t="s">
        <v>50</v>
      </c>
      <c r="K227" s="2" t="s">
        <v>22</v>
      </c>
      <c r="L227" s="2" t="s">
        <v>23</v>
      </c>
      <c r="M227" t="str">
        <f t="shared" si="19"/>
        <v>29.29</v>
      </c>
      <c r="N227" t="str">
        <f t="shared" si="20"/>
        <v>1900.56</v>
      </c>
      <c r="O227" t="str">
        <f t="shared" si="21"/>
        <v>19.14</v>
      </c>
      <c r="P227" t="str">
        <f t="shared" si="22"/>
        <v>680.80</v>
      </c>
      <c r="Q227" t="str">
        <f t="shared" si="23"/>
        <v>194.22</v>
      </c>
    </row>
    <row r="228" spans="1:17" x14ac:dyDescent="0.25">
      <c r="A228" s="2" t="s">
        <v>143</v>
      </c>
      <c r="B228" s="2" t="s">
        <v>144</v>
      </c>
      <c r="C228" s="2" t="s">
        <v>145</v>
      </c>
      <c r="D228" s="2" t="s">
        <v>146</v>
      </c>
      <c r="E228" s="2" t="s">
        <v>147</v>
      </c>
      <c r="F228" s="2" t="s">
        <v>82</v>
      </c>
      <c r="G228" s="2" t="s">
        <v>18</v>
      </c>
      <c r="H228" s="2" t="s">
        <v>76</v>
      </c>
      <c r="I228" s="2" t="s">
        <v>30</v>
      </c>
      <c r="J228" s="2" t="s">
        <v>21</v>
      </c>
      <c r="K228" s="2" t="s">
        <v>22</v>
      </c>
      <c r="L228" s="2" t="s">
        <v>23</v>
      </c>
      <c r="M228" t="str">
        <f t="shared" si="19"/>
        <v>118.72</v>
      </c>
      <c r="N228" t="str">
        <f t="shared" si="20"/>
        <v>106.61</v>
      </c>
      <c r="O228" t="str">
        <f t="shared" si="21"/>
        <v>6.26</v>
      </c>
      <c r="P228" t="str">
        <f t="shared" si="22"/>
        <v>1456.91</v>
      </c>
      <c r="Q228" t="str">
        <f t="shared" si="23"/>
        <v>79.47</v>
      </c>
    </row>
    <row r="229" spans="1:17" x14ac:dyDescent="0.25">
      <c r="A229" s="2" t="s">
        <v>208</v>
      </c>
      <c r="B229" s="2" t="s">
        <v>209</v>
      </c>
      <c r="C229" s="2" t="s">
        <v>210</v>
      </c>
      <c r="D229" s="2" t="s">
        <v>211</v>
      </c>
      <c r="E229" s="2" t="s">
        <v>212</v>
      </c>
      <c r="F229" s="2" t="s">
        <v>213</v>
      </c>
      <c r="G229" s="2" t="s">
        <v>18</v>
      </c>
      <c r="H229" s="2" t="s">
        <v>19</v>
      </c>
      <c r="I229" s="2" t="s">
        <v>20</v>
      </c>
      <c r="J229" s="2" t="s">
        <v>21</v>
      </c>
      <c r="K229" s="2" t="s">
        <v>32</v>
      </c>
      <c r="L229" s="2" t="s">
        <v>33</v>
      </c>
      <c r="M229" t="str">
        <f t="shared" si="19"/>
        <v>12.14</v>
      </c>
      <c r="N229" t="str">
        <f t="shared" si="20"/>
        <v>780.35</v>
      </c>
      <c r="O229" t="str">
        <f t="shared" si="21"/>
        <v>4.14</v>
      </c>
      <c r="P229" t="str">
        <f t="shared" si="22"/>
        <v>158.90</v>
      </c>
      <c r="Q229" t="str">
        <f t="shared" si="23"/>
        <v>45.39</v>
      </c>
    </row>
    <row r="230" spans="1:17" x14ac:dyDescent="0.25">
      <c r="A230" s="2" t="s">
        <v>214</v>
      </c>
      <c r="B230" s="2" t="s">
        <v>215</v>
      </c>
      <c r="C230" s="2" t="s">
        <v>216</v>
      </c>
      <c r="D230" s="2" t="s">
        <v>217</v>
      </c>
      <c r="E230" s="2" t="s">
        <v>218</v>
      </c>
      <c r="F230" s="2" t="s">
        <v>219</v>
      </c>
      <c r="G230" s="2" t="s">
        <v>40</v>
      </c>
      <c r="H230" s="2" t="s">
        <v>41</v>
      </c>
      <c r="I230" s="2" t="s">
        <v>42</v>
      </c>
      <c r="J230" s="2" t="s">
        <v>31</v>
      </c>
      <c r="K230" s="2" t="s">
        <v>32</v>
      </c>
      <c r="L230" s="2" t="s">
        <v>33</v>
      </c>
      <c r="M230" t="str">
        <f t="shared" si="19"/>
        <v>40.66</v>
      </c>
      <c r="N230" t="str">
        <f t="shared" si="20"/>
        <v>1903.89</v>
      </c>
      <c r="O230" t="str">
        <f t="shared" si="21"/>
        <v>37.22</v>
      </c>
      <c r="P230" t="str">
        <f t="shared" si="22"/>
        <v>900.12</v>
      </c>
      <c r="Q230" t="str">
        <f t="shared" si="23"/>
        <v>153.60</v>
      </c>
    </row>
    <row r="231" spans="1:17" x14ac:dyDescent="0.25">
      <c r="A231" s="2" t="s">
        <v>220</v>
      </c>
      <c r="B231" s="2" t="s">
        <v>221</v>
      </c>
      <c r="C231" s="2" t="s">
        <v>222</v>
      </c>
      <c r="D231" s="2" t="s">
        <v>223</v>
      </c>
      <c r="E231" s="2" t="s">
        <v>224</v>
      </c>
      <c r="F231" s="2" t="s">
        <v>225</v>
      </c>
      <c r="G231" s="2" t="s">
        <v>40</v>
      </c>
      <c r="H231" s="2" t="s">
        <v>49</v>
      </c>
      <c r="I231" s="2" t="s">
        <v>20</v>
      </c>
      <c r="J231" s="2" t="s">
        <v>31</v>
      </c>
      <c r="K231" s="2" t="s">
        <v>22</v>
      </c>
      <c r="L231" s="2" t="s">
        <v>23</v>
      </c>
      <c r="M231" t="str">
        <f t="shared" si="19"/>
        <v>34.68</v>
      </c>
      <c r="N231" t="str">
        <f t="shared" si="20"/>
        <v>1477.39</v>
      </c>
      <c r="O231" t="str">
        <f t="shared" si="21"/>
        <v>25.83</v>
      </c>
      <c r="P231" t="str">
        <f t="shared" si="22"/>
        <v>743.11</v>
      </c>
      <c r="Q231" t="str">
        <f t="shared" si="23"/>
        <v>19.97</v>
      </c>
    </row>
    <row r="232" spans="1:17" x14ac:dyDescent="0.25">
      <c r="A232" s="2" t="s">
        <v>226</v>
      </c>
      <c r="B232" s="2" t="s">
        <v>227</v>
      </c>
      <c r="C232" s="2" t="s">
        <v>228</v>
      </c>
      <c r="D232" s="2" t="s">
        <v>229</v>
      </c>
      <c r="E232" s="2" t="s">
        <v>230</v>
      </c>
      <c r="F232" s="2" t="s">
        <v>231</v>
      </c>
      <c r="G232" s="2" t="s">
        <v>40</v>
      </c>
      <c r="H232" s="2" t="s">
        <v>76</v>
      </c>
      <c r="I232" s="2" t="s">
        <v>20</v>
      </c>
      <c r="J232" s="2" t="s">
        <v>21</v>
      </c>
      <c r="K232" s="2" t="s">
        <v>32</v>
      </c>
      <c r="L232" s="2" t="s">
        <v>33</v>
      </c>
      <c r="M232" t="str">
        <f t="shared" si="19"/>
        <v>15.62</v>
      </c>
      <c r="N232" t="str">
        <f t="shared" si="20"/>
        <v>1217.38</v>
      </c>
      <c r="O232" t="str">
        <f t="shared" si="21"/>
        <v>9.96</v>
      </c>
      <c r="P232" t="str">
        <f t="shared" si="22"/>
        <v>308.81</v>
      </c>
      <c r="Q232" t="str">
        <f t="shared" si="23"/>
        <v>273.70</v>
      </c>
    </row>
    <row r="233" spans="1:17" x14ac:dyDescent="0.25">
      <c r="A233" s="2" t="s">
        <v>232</v>
      </c>
      <c r="B233" s="2" t="s">
        <v>233</v>
      </c>
      <c r="C233" s="2" t="s">
        <v>234</v>
      </c>
      <c r="D233" s="2" t="s">
        <v>235</v>
      </c>
      <c r="E233" s="2" t="s">
        <v>236</v>
      </c>
      <c r="F233" s="2" t="s">
        <v>237</v>
      </c>
      <c r="G233" s="2" t="s">
        <v>40</v>
      </c>
      <c r="H233" s="2" t="s">
        <v>41</v>
      </c>
      <c r="I233" s="2" t="s">
        <v>20</v>
      </c>
      <c r="J233" s="2" t="s">
        <v>21</v>
      </c>
      <c r="K233" s="2" t="s">
        <v>22</v>
      </c>
      <c r="L233" s="2" t="s">
        <v>23</v>
      </c>
      <c r="M233" t="str">
        <f t="shared" si="19"/>
        <v>4.51</v>
      </c>
      <c r="N233" t="str">
        <f t="shared" si="20"/>
        <v>354.24</v>
      </c>
      <c r="O233" t="str">
        <f t="shared" si="21"/>
        <v>2.74</v>
      </c>
      <c r="P233" t="str">
        <f t="shared" si="22"/>
        <v>92.20</v>
      </c>
      <c r="Q233" t="str">
        <f t="shared" si="23"/>
        <v>85.05</v>
      </c>
    </row>
    <row r="234" spans="1:17" x14ac:dyDescent="0.25">
      <c r="A234" s="2" t="s">
        <v>238</v>
      </c>
      <c r="B234" s="2" t="s">
        <v>239</v>
      </c>
      <c r="C234" s="2" t="s">
        <v>240</v>
      </c>
      <c r="D234" s="2" t="s">
        <v>241</v>
      </c>
      <c r="E234" s="2" t="s">
        <v>242</v>
      </c>
      <c r="F234" s="2" t="s">
        <v>243</v>
      </c>
      <c r="G234" s="2" t="s">
        <v>40</v>
      </c>
      <c r="H234" s="2" t="s">
        <v>49</v>
      </c>
      <c r="I234" s="2" t="s">
        <v>20</v>
      </c>
      <c r="J234" s="2" t="s">
        <v>21</v>
      </c>
      <c r="K234" s="2" t="s">
        <v>32</v>
      </c>
      <c r="L234" s="2" t="s">
        <v>23</v>
      </c>
      <c r="M234" t="str">
        <f t="shared" si="19"/>
        <v>4.90</v>
      </c>
      <c r="N234" t="str">
        <f t="shared" si="20"/>
        <v>354.19</v>
      </c>
      <c r="O234" t="str">
        <f t="shared" si="21"/>
        <v>2.75</v>
      </c>
      <c r="P234" t="str">
        <f t="shared" si="22"/>
        <v>119.57</v>
      </c>
      <c r="Q234" t="str">
        <f t="shared" si="23"/>
        <v>202.13</v>
      </c>
    </row>
    <row r="235" spans="1:17" x14ac:dyDescent="0.25">
      <c r="A235" s="2" t="s">
        <v>244</v>
      </c>
      <c r="B235" s="2" t="s">
        <v>245</v>
      </c>
      <c r="C235" s="2" t="s">
        <v>246</v>
      </c>
      <c r="D235" s="2" t="s">
        <v>247</v>
      </c>
      <c r="E235" s="2" t="s">
        <v>248</v>
      </c>
      <c r="F235" s="2" t="s">
        <v>249</v>
      </c>
      <c r="G235" s="2" t="s">
        <v>40</v>
      </c>
      <c r="H235" s="2" t="s">
        <v>41</v>
      </c>
      <c r="I235" s="2" t="s">
        <v>30</v>
      </c>
      <c r="J235" s="2" t="s">
        <v>31</v>
      </c>
      <c r="K235" s="2" t="s">
        <v>22</v>
      </c>
      <c r="L235" s="2" t="s">
        <v>33</v>
      </c>
      <c r="M235" t="str">
        <f t="shared" si="19"/>
        <v>3.13</v>
      </c>
      <c r="N235" t="str">
        <f t="shared" si="20"/>
        <v>163.26</v>
      </c>
      <c r="O235" t="str">
        <f t="shared" si="21"/>
        <v>1.56</v>
      </c>
      <c r="P235" t="str">
        <f t="shared" si="22"/>
        <v>40.58</v>
      </c>
      <c r="Q235" t="str">
        <f t="shared" si="23"/>
        <v>100.40</v>
      </c>
    </row>
    <row r="236" spans="1:17" x14ac:dyDescent="0.25">
      <c r="A236" s="2" t="s">
        <v>250</v>
      </c>
      <c r="B236" s="2" t="s">
        <v>251</v>
      </c>
      <c r="C236" s="2" t="s">
        <v>252</v>
      </c>
      <c r="D236" s="2" t="s">
        <v>253</v>
      </c>
      <c r="E236" s="2" t="s">
        <v>254</v>
      </c>
      <c r="F236" s="2" t="s">
        <v>255</v>
      </c>
      <c r="G236" s="2" t="s">
        <v>18</v>
      </c>
      <c r="H236" s="2" t="s">
        <v>49</v>
      </c>
      <c r="I236" s="2" t="s">
        <v>20</v>
      </c>
      <c r="J236" s="2" t="s">
        <v>21</v>
      </c>
      <c r="K236" s="2" t="s">
        <v>32</v>
      </c>
      <c r="L236" s="2" t="s">
        <v>33</v>
      </c>
      <c r="M236" t="str">
        <f t="shared" si="19"/>
        <v>39.61</v>
      </c>
      <c r="N236" t="str">
        <f t="shared" si="20"/>
        <v>1739.04</v>
      </c>
      <c r="O236" t="str">
        <f t="shared" si="21"/>
        <v>22.38</v>
      </c>
      <c r="P236" t="str">
        <f t="shared" si="22"/>
        <v>792.99</v>
      </c>
      <c r="Q236" t="str">
        <f t="shared" si="23"/>
        <v>160.82</v>
      </c>
    </row>
    <row r="237" spans="1:17" x14ac:dyDescent="0.25">
      <c r="A237" s="2" t="s">
        <v>256</v>
      </c>
      <c r="B237" s="2" t="s">
        <v>257</v>
      </c>
      <c r="C237" s="2" t="s">
        <v>258</v>
      </c>
      <c r="D237" s="2" t="s">
        <v>259</v>
      </c>
      <c r="E237" s="2" t="s">
        <v>260</v>
      </c>
      <c r="F237" s="2" t="s">
        <v>261</v>
      </c>
      <c r="G237" s="2" t="s">
        <v>18</v>
      </c>
      <c r="H237" s="2" t="s">
        <v>76</v>
      </c>
      <c r="I237" s="2" t="s">
        <v>20</v>
      </c>
      <c r="J237" s="2" t="s">
        <v>21</v>
      </c>
      <c r="K237" s="2" t="s">
        <v>32</v>
      </c>
      <c r="L237" s="2" t="s">
        <v>23</v>
      </c>
      <c r="M237" t="str">
        <f t="shared" si="19"/>
        <v>18.14</v>
      </c>
      <c r="N237" t="str">
        <f t="shared" si="20"/>
        <v>1222.17</v>
      </c>
      <c r="O237" t="str">
        <f t="shared" si="21"/>
        <v>14.03</v>
      </c>
      <c r="P237" t="str">
        <f t="shared" si="22"/>
        <v>529.93</v>
      </c>
      <c r="Q237" t="str">
        <f t="shared" si="23"/>
        <v>168.55</v>
      </c>
    </row>
    <row r="238" spans="1:17" x14ac:dyDescent="0.25">
      <c r="A238" s="2" t="s">
        <v>262</v>
      </c>
      <c r="B238" s="2" t="s">
        <v>263</v>
      </c>
      <c r="C238" s="2" t="s">
        <v>264</v>
      </c>
      <c r="D238" s="2" t="s">
        <v>265</v>
      </c>
      <c r="E238" s="2" t="s">
        <v>266</v>
      </c>
      <c r="F238" s="2" t="s">
        <v>267</v>
      </c>
      <c r="G238" s="2" t="s">
        <v>40</v>
      </c>
      <c r="H238" s="2" t="s">
        <v>19</v>
      </c>
      <c r="I238" s="2" t="s">
        <v>20</v>
      </c>
      <c r="J238" s="2" t="s">
        <v>31</v>
      </c>
      <c r="K238" s="2" t="s">
        <v>22</v>
      </c>
      <c r="L238" s="2" t="s">
        <v>23</v>
      </c>
      <c r="M238" t="str">
        <f t="shared" si="19"/>
        <v>24.84</v>
      </c>
      <c r="N238" t="str">
        <f t="shared" si="20"/>
        <v>1430.74</v>
      </c>
      <c r="O238" t="str">
        <f t="shared" si="21"/>
        <v>13.40</v>
      </c>
      <c r="P238" t="str">
        <f t="shared" si="22"/>
        <v>286.75</v>
      </c>
      <c r="Q238" t="str">
        <f t="shared" si="23"/>
        <v>63.61</v>
      </c>
    </row>
    <row r="239" spans="1:17" x14ac:dyDescent="0.25">
      <c r="A239" s="2" t="s">
        <v>107</v>
      </c>
      <c r="B239" s="2" t="s">
        <v>108</v>
      </c>
      <c r="C239" s="2" t="s">
        <v>109</v>
      </c>
      <c r="D239" s="2" t="s">
        <v>110</v>
      </c>
      <c r="E239" s="2" t="s">
        <v>111</v>
      </c>
      <c r="F239" s="2" t="s">
        <v>112</v>
      </c>
      <c r="G239" s="2" t="s">
        <v>63</v>
      </c>
      <c r="H239" s="2" t="s">
        <v>49</v>
      </c>
      <c r="I239" s="2" t="s">
        <v>20</v>
      </c>
      <c r="J239" s="2" t="s">
        <v>21</v>
      </c>
      <c r="K239" s="2" t="s">
        <v>32</v>
      </c>
      <c r="L239" s="2" t="s">
        <v>33</v>
      </c>
      <c r="M239" t="str">
        <f t="shared" si="19"/>
        <v>17.22</v>
      </c>
      <c r="N239" t="str">
        <f t="shared" si="20"/>
        <v>1240.65</v>
      </c>
      <c r="O239" t="str">
        <f t="shared" si="21"/>
        <v>86.44</v>
      </c>
      <c r="P239" t="str">
        <f t="shared" si="22"/>
        <v>1456.18</v>
      </c>
      <c r="Q239" t="str">
        <f t="shared" si="23"/>
        <v>142.03</v>
      </c>
    </row>
    <row r="240" spans="1:17" x14ac:dyDescent="0.25">
      <c r="A240" s="2" t="s">
        <v>113</v>
      </c>
      <c r="B240" s="2" t="s">
        <v>114</v>
      </c>
      <c r="C240" s="2" t="s">
        <v>115</v>
      </c>
      <c r="D240" s="2" t="s">
        <v>116</v>
      </c>
      <c r="E240" s="2" t="s">
        <v>117</v>
      </c>
      <c r="F240" s="2" t="s">
        <v>118</v>
      </c>
      <c r="G240" s="2" t="s">
        <v>63</v>
      </c>
      <c r="H240" s="2" t="s">
        <v>41</v>
      </c>
      <c r="I240" s="2" t="s">
        <v>20</v>
      </c>
      <c r="J240" s="2" t="s">
        <v>31</v>
      </c>
      <c r="K240" s="2" t="s">
        <v>32</v>
      </c>
      <c r="L240" s="2" t="s">
        <v>33</v>
      </c>
      <c r="M240" t="str">
        <f t="shared" si="19"/>
        <v>66.19</v>
      </c>
      <c r="N240" t="str">
        <f t="shared" si="20"/>
        <v>720.39</v>
      </c>
      <c r="O240" t="str">
        <f t="shared" si="21"/>
        <v>37.80</v>
      </c>
      <c r="P240" t="str">
        <f t="shared" si="22"/>
        <v>1097.66</v>
      </c>
      <c r="Q240" t="str">
        <f t="shared" si="23"/>
        <v>37.53</v>
      </c>
    </row>
    <row r="241" spans="1:17" x14ac:dyDescent="0.25">
      <c r="A241" s="2" t="s">
        <v>208</v>
      </c>
      <c r="B241" s="2" t="s">
        <v>209</v>
      </c>
      <c r="C241" s="2" t="s">
        <v>210</v>
      </c>
      <c r="D241" s="2" t="s">
        <v>211</v>
      </c>
      <c r="E241" s="2" t="s">
        <v>212</v>
      </c>
      <c r="F241" s="2" t="s">
        <v>213</v>
      </c>
      <c r="G241" s="2" t="s">
        <v>18</v>
      </c>
      <c r="H241" s="2" t="s">
        <v>19</v>
      </c>
      <c r="I241" s="2" t="s">
        <v>20</v>
      </c>
      <c r="J241" s="2" t="s">
        <v>21</v>
      </c>
      <c r="K241" s="2" t="s">
        <v>32</v>
      </c>
      <c r="L241" s="2" t="s">
        <v>33</v>
      </c>
      <c r="M241" t="str">
        <f t="shared" si="19"/>
        <v>12.14</v>
      </c>
      <c r="N241" t="str">
        <f t="shared" si="20"/>
        <v>780.35</v>
      </c>
      <c r="O241" t="str">
        <f t="shared" si="21"/>
        <v>4.14</v>
      </c>
      <c r="P241" t="str">
        <f t="shared" si="22"/>
        <v>158.90</v>
      </c>
      <c r="Q241" t="str">
        <f t="shared" si="23"/>
        <v>45.39</v>
      </c>
    </row>
    <row r="242" spans="1:17" x14ac:dyDescent="0.25">
      <c r="A242" s="2" t="s">
        <v>214</v>
      </c>
      <c r="B242" s="2" t="s">
        <v>215</v>
      </c>
      <c r="C242" s="2" t="s">
        <v>216</v>
      </c>
      <c r="D242" s="2" t="s">
        <v>217</v>
      </c>
      <c r="E242" s="2" t="s">
        <v>218</v>
      </c>
      <c r="F242" s="2" t="s">
        <v>219</v>
      </c>
      <c r="G242" s="2" t="s">
        <v>40</v>
      </c>
      <c r="H242" s="2" t="s">
        <v>41</v>
      </c>
      <c r="I242" s="2" t="s">
        <v>42</v>
      </c>
      <c r="J242" s="2" t="s">
        <v>31</v>
      </c>
      <c r="K242" s="2" t="s">
        <v>32</v>
      </c>
      <c r="L242" s="2" t="s">
        <v>33</v>
      </c>
      <c r="M242" t="str">
        <f t="shared" si="19"/>
        <v>40.66</v>
      </c>
      <c r="N242" t="str">
        <f t="shared" si="20"/>
        <v>1903.89</v>
      </c>
      <c r="O242" t="str">
        <f t="shared" si="21"/>
        <v>37.22</v>
      </c>
      <c r="P242" t="str">
        <f t="shared" si="22"/>
        <v>900.12</v>
      </c>
      <c r="Q242" t="str">
        <f t="shared" si="23"/>
        <v>153.60</v>
      </c>
    </row>
    <row r="243" spans="1:17" x14ac:dyDescent="0.25">
      <c r="A243" s="2" t="s">
        <v>220</v>
      </c>
      <c r="B243" s="2" t="s">
        <v>221</v>
      </c>
      <c r="C243" s="2" t="s">
        <v>222</v>
      </c>
      <c r="D243" s="2" t="s">
        <v>223</v>
      </c>
      <c r="E243" s="2" t="s">
        <v>224</v>
      </c>
      <c r="F243" s="2" t="s">
        <v>225</v>
      </c>
      <c r="G243" s="2" t="s">
        <v>40</v>
      </c>
      <c r="H243" s="2" t="s">
        <v>49</v>
      </c>
      <c r="I243" s="2" t="s">
        <v>20</v>
      </c>
      <c r="J243" s="2" t="s">
        <v>31</v>
      </c>
      <c r="K243" s="2" t="s">
        <v>22</v>
      </c>
      <c r="L243" s="2" t="s">
        <v>23</v>
      </c>
      <c r="M243" t="str">
        <f t="shared" si="19"/>
        <v>34.68</v>
      </c>
      <c r="N243" t="str">
        <f t="shared" si="20"/>
        <v>1477.39</v>
      </c>
      <c r="O243" t="str">
        <f t="shared" si="21"/>
        <v>25.83</v>
      </c>
      <c r="P243" t="str">
        <f t="shared" si="22"/>
        <v>743.11</v>
      </c>
      <c r="Q243" t="str">
        <f t="shared" si="23"/>
        <v>19.97</v>
      </c>
    </row>
    <row r="244" spans="1:17" x14ac:dyDescent="0.25">
      <c r="A244" s="2" t="s">
        <v>226</v>
      </c>
      <c r="B244" s="2" t="s">
        <v>227</v>
      </c>
      <c r="C244" s="2" t="s">
        <v>228</v>
      </c>
      <c r="D244" s="2" t="s">
        <v>229</v>
      </c>
      <c r="E244" s="2" t="s">
        <v>230</v>
      </c>
      <c r="F244" s="2" t="s">
        <v>231</v>
      </c>
      <c r="G244" s="2" t="s">
        <v>40</v>
      </c>
      <c r="H244" s="2" t="s">
        <v>76</v>
      </c>
      <c r="I244" s="2" t="s">
        <v>20</v>
      </c>
      <c r="J244" s="2" t="s">
        <v>21</v>
      </c>
      <c r="K244" s="2" t="s">
        <v>32</v>
      </c>
      <c r="L244" s="2" t="s">
        <v>33</v>
      </c>
      <c r="M244" t="str">
        <f t="shared" si="19"/>
        <v>15.62</v>
      </c>
      <c r="N244" t="str">
        <f t="shared" si="20"/>
        <v>1217.38</v>
      </c>
      <c r="O244" t="str">
        <f t="shared" si="21"/>
        <v>9.96</v>
      </c>
      <c r="P244" t="str">
        <f t="shared" si="22"/>
        <v>308.81</v>
      </c>
      <c r="Q244" t="str">
        <f t="shared" si="23"/>
        <v>273.70</v>
      </c>
    </row>
    <row r="245" spans="1:17" x14ac:dyDescent="0.25">
      <c r="A245" s="2" t="s">
        <v>232</v>
      </c>
      <c r="B245" s="2" t="s">
        <v>233</v>
      </c>
      <c r="C245" s="2" t="s">
        <v>234</v>
      </c>
      <c r="D245" s="2" t="s">
        <v>235</v>
      </c>
      <c r="E245" s="2" t="s">
        <v>236</v>
      </c>
      <c r="F245" s="2" t="s">
        <v>237</v>
      </c>
      <c r="G245" s="2" t="s">
        <v>40</v>
      </c>
      <c r="H245" s="2" t="s">
        <v>41</v>
      </c>
      <c r="I245" s="2" t="s">
        <v>20</v>
      </c>
      <c r="J245" s="2" t="s">
        <v>21</v>
      </c>
      <c r="K245" s="2" t="s">
        <v>22</v>
      </c>
      <c r="L245" s="2" t="s">
        <v>23</v>
      </c>
      <c r="M245" t="str">
        <f t="shared" si="19"/>
        <v>4.51</v>
      </c>
      <c r="N245" t="str">
        <f t="shared" si="20"/>
        <v>354.24</v>
      </c>
      <c r="O245" t="str">
        <f t="shared" si="21"/>
        <v>2.74</v>
      </c>
      <c r="P245" t="str">
        <f t="shared" si="22"/>
        <v>92.20</v>
      </c>
      <c r="Q245" t="str">
        <f t="shared" si="23"/>
        <v>85.05</v>
      </c>
    </row>
    <row r="246" spans="1:17" x14ac:dyDescent="0.25">
      <c r="A246" s="2" t="s">
        <v>238</v>
      </c>
      <c r="B246" s="2" t="s">
        <v>239</v>
      </c>
      <c r="C246" s="2" t="s">
        <v>240</v>
      </c>
      <c r="D246" s="2" t="s">
        <v>241</v>
      </c>
      <c r="E246" s="2" t="s">
        <v>242</v>
      </c>
      <c r="F246" s="2" t="s">
        <v>243</v>
      </c>
      <c r="G246" s="2" t="s">
        <v>40</v>
      </c>
      <c r="H246" s="2" t="s">
        <v>49</v>
      </c>
      <c r="I246" s="2" t="s">
        <v>20</v>
      </c>
      <c r="J246" s="2" t="s">
        <v>21</v>
      </c>
      <c r="K246" s="2" t="s">
        <v>32</v>
      </c>
      <c r="L246" s="2" t="s">
        <v>23</v>
      </c>
      <c r="M246" t="str">
        <f t="shared" si="19"/>
        <v>4.90</v>
      </c>
      <c r="N246" t="str">
        <f t="shared" si="20"/>
        <v>354.19</v>
      </c>
      <c r="O246" t="str">
        <f t="shared" si="21"/>
        <v>2.75</v>
      </c>
      <c r="P246" t="str">
        <f t="shared" si="22"/>
        <v>119.57</v>
      </c>
      <c r="Q246" t="str">
        <f t="shared" si="23"/>
        <v>202.13</v>
      </c>
    </row>
    <row r="247" spans="1:17" x14ac:dyDescent="0.25">
      <c r="A247" s="2" t="s">
        <v>244</v>
      </c>
      <c r="B247" s="2" t="s">
        <v>245</v>
      </c>
      <c r="C247" s="2" t="s">
        <v>246</v>
      </c>
      <c r="D247" s="2" t="s">
        <v>247</v>
      </c>
      <c r="E247" s="2" t="s">
        <v>248</v>
      </c>
      <c r="F247" s="2" t="s">
        <v>249</v>
      </c>
      <c r="G247" s="2" t="s">
        <v>40</v>
      </c>
      <c r="H247" s="2" t="s">
        <v>41</v>
      </c>
      <c r="I247" s="2" t="s">
        <v>30</v>
      </c>
      <c r="J247" s="2" t="s">
        <v>31</v>
      </c>
      <c r="K247" s="2" t="s">
        <v>22</v>
      </c>
      <c r="L247" s="2" t="s">
        <v>33</v>
      </c>
      <c r="M247" t="str">
        <f t="shared" si="19"/>
        <v>3.13</v>
      </c>
      <c r="N247" t="str">
        <f t="shared" si="20"/>
        <v>163.26</v>
      </c>
      <c r="O247" t="str">
        <f t="shared" si="21"/>
        <v>1.56</v>
      </c>
      <c r="P247" t="str">
        <f t="shared" si="22"/>
        <v>40.58</v>
      </c>
      <c r="Q247" t="str">
        <f t="shared" si="23"/>
        <v>100.40</v>
      </c>
    </row>
    <row r="248" spans="1:17" x14ac:dyDescent="0.25">
      <c r="A248" s="2" t="s">
        <v>250</v>
      </c>
      <c r="B248" s="2" t="s">
        <v>251</v>
      </c>
      <c r="C248" s="2" t="s">
        <v>252</v>
      </c>
      <c r="D248" s="2" t="s">
        <v>253</v>
      </c>
      <c r="E248" s="2" t="s">
        <v>254</v>
      </c>
      <c r="F248" s="2" t="s">
        <v>255</v>
      </c>
      <c r="G248" s="2" t="s">
        <v>18</v>
      </c>
      <c r="H248" s="2" t="s">
        <v>49</v>
      </c>
      <c r="I248" s="2" t="s">
        <v>20</v>
      </c>
      <c r="J248" s="2" t="s">
        <v>21</v>
      </c>
      <c r="K248" s="2" t="s">
        <v>32</v>
      </c>
      <c r="L248" s="2" t="s">
        <v>33</v>
      </c>
      <c r="M248" t="str">
        <f t="shared" si="19"/>
        <v>39.61</v>
      </c>
      <c r="N248" t="str">
        <f t="shared" si="20"/>
        <v>1739.04</v>
      </c>
      <c r="O248" t="str">
        <f t="shared" si="21"/>
        <v>22.38</v>
      </c>
      <c r="P248" t="str">
        <f t="shared" si="22"/>
        <v>792.99</v>
      </c>
      <c r="Q248" t="str">
        <f t="shared" si="23"/>
        <v>160.82</v>
      </c>
    </row>
    <row r="249" spans="1:17" x14ac:dyDescent="0.25">
      <c r="A249" s="2" t="s">
        <v>256</v>
      </c>
      <c r="B249" s="2" t="s">
        <v>257</v>
      </c>
      <c r="C249" s="2" t="s">
        <v>258</v>
      </c>
      <c r="D249" s="2" t="s">
        <v>259</v>
      </c>
      <c r="E249" s="2" t="s">
        <v>260</v>
      </c>
      <c r="F249" s="2" t="s">
        <v>261</v>
      </c>
      <c r="G249" s="2" t="s">
        <v>18</v>
      </c>
      <c r="H249" s="2" t="s">
        <v>76</v>
      </c>
      <c r="I249" s="2" t="s">
        <v>20</v>
      </c>
      <c r="J249" s="2" t="s">
        <v>21</v>
      </c>
      <c r="K249" s="2" t="s">
        <v>32</v>
      </c>
      <c r="L249" s="2" t="s">
        <v>23</v>
      </c>
      <c r="M249" t="str">
        <f t="shared" si="19"/>
        <v>18.14</v>
      </c>
      <c r="N249" t="str">
        <f t="shared" si="20"/>
        <v>1222.17</v>
      </c>
      <c r="O249" t="str">
        <f t="shared" si="21"/>
        <v>14.03</v>
      </c>
      <c r="P249" t="str">
        <f t="shared" si="22"/>
        <v>529.93</v>
      </c>
      <c r="Q249" t="str">
        <f t="shared" si="23"/>
        <v>168.55</v>
      </c>
    </row>
    <row r="250" spans="1:17" x14ac:dyDescent="0.25">
      <c r="A250" s="2" t="s">
        <v>262</v>
      </c>
      <c r="B250" s="2" t="s">
        <v>263</v>
      </c>
      <c r="C250" s="2" t="s">
        <v>264</v>
      </c>
      <c r="D250" s="2" t="s">
        <v>265</v>
      </c>
      <c r="E250" s="2" t="s">
        <v>266</v>
      </c>
      <c r="F250" s="2" t="s">
        <v>267</v>
      </c>
      <c r="G250" s="2" t="s">
        <v>40</v>
      </c>
      <c r="H250" s="2" t="s">
        <v>19</v>
      </c>
      <c r="I250" s="2" t="s">
        <v>20</v>
      </c>
      <c r="J250" s="2" t="s">
        <v>31</v>
      </c>
      <c r="K250" s="2" t="s">
        <v>22</v>
      </c>
      <c r="L250" s="2" t="s">
        <v>23</v>
      </c>
      <c r="M250" t="str">
        <f t="shared" si="19"/>
        <v>24.84</v>
      </c>
      <c r="N250" t="str">
        <f t="shared" si="20"/>
        <v>1430.74</v>
      </c>
      <c r="O250" t="str">
        <f t="shared" si="21"/>
        <v>13.40</v>
      </c>
      <c r="P250" t="str">
        <f t="shared" si="22"/>
        <v>286.75</v>
      </c>
      <c r="Q250" t="str">
        <f t="shared" si="23"/>
        <v>63.61</v>
      </c>
    </row>
    <row r="251" spans="1:17" x14ac:dyDescent="0.25">
      <c r="A251" s="2" t="s">
        <v>119</v>
      </c>
      <c r="B251" s="2" t="s">
        <v>120</v>
      </c>
      <c r="C251" s="2" t="s">
        <v>121</v>
      </c>
      <c r="D251" s="2" t="s">
        <v>122</v>
      </c>
      <c r="E251" s="2" t="s">
        <v>123</v>
      </c>
      <c r="F251" s="2" t="s">
        <v>124</v>
      </c>
      <c r="G251" s="2" t="s">
        <v>40</v>
      </c>
      <c r="H251" s="2" t="s">
        <v>76</v>
      </c>
      <c r="I251" s="2" t="s">
        <v>42</v>
      </c>
      <c r="J251" s="2" t="s">
        <v>50</v>
      </c>
      <c r="K251" s="2" t="s">
        <v>32</v>
      </c>
      <c r="L251" s="2" t="s">
        <v>33</v>
      </c>
      <c r="M251" t="str">
        <f t="shared" si="19"/>
        <v>22.47</v>
      </c>
      <c r="N251" t="str">
        <f t="shared" si="20"/>
        <v>1959.24</v>
      </c>
      <c r="O251" t="str">
        <f t="shared" si="21"/>
        <v>19.19</v>
      </c>
      <c r="P251" t="str">
        <f t="shared" si="22"/>
        <v>1465.60</v>
      </c>
      <c r="Q251" t="str">
        <f t="shared" si="23"/>
        <v>126.44</v>
      </c>
    </row>
    <row r="252" spans="1:17" x14ac:dyDescent="0.25">
      <c r="A252" s="2" t="s">
        <v>125</v>
      </c>
      <c r="B252" s="2" t="s">
        <v>126</v>
      </c>
      <c r="C252" s="2" t="s">
        <v>127</v>
      </c>
      <c r="D252" s="2" t="s">
        <v>128</v>
      </c>
      <c r="E252" s="2" t="s">
        <v>129</v>
      </c>
      <c r="F252" s="2" t="s">
        <v>130</v>
      </c>
      <c r="G252" s="2" t="s">
        <v>63</v>
      </c>
      <c r="H252" s="2" t="s">
        <v>41</v>
      </c>
      <c r="I252" s="2" t="s">
        <v>20</v>
      </c>
      <c r="J252" s="2" t="s">
        <v>21</v>
      </c>
      <c r="K252" s="2" t="s">
        <v>22</v>
      </c>
      <c r="L252" s="2" t="s">
        <v>23</v>
      </c>
      <c r="M252" t="str">
        <f t="shared" si="19"/>
        <v>56.32</v>
      </c>
      <c r="N252" t="str">
        <f t="shared" si="20"/>
        <v>1328.28</v>
      </c>
      <c r="O252" t="str">
        <f t="shared" si="21"/>
        <v>92.45</v>
      </c>
      <c r="P252" t="str">
        <f t="shared" si="22"/>
        <v>1588.47</v>
      </c>
      <c r="Q252" t="str">
        <f t="shared" si="23"/>
        <v>131.78</v>
      </c>
    </row>
    <row r="253" spans="1:17" x14ac:dyDescent="0.25">
      <c r="A253" s="2" t="s">
        <v>131</v>
      </c>
      <c r="B253" s="2" t="s">
        <v>132</v>
      </c>
      <c r="C253" s="2" t="s">
        <v>133</v>
      </c>
      <c r="D253" s="2" t="s">
        <v>134</v>
      </c>
      <c r="E253" s="2" t="s">
        <v>135</v>
      </c>
      <c r="F253" s="2" t="s">
        <v>136</v>
      </c>
      <c r="G253" s="2" t="s">
        <v>40</v>
      </c>
      <c r="H253" s="2" t="s">
        <v>49</v>
      </c>
      <c r="I253" s="2" t="s">
        <v>20</v>
      </c>
      <c r="J253" s="2" t="s">
        <v>31</v>
      </c>
      <c r="K253" s="2" t="s">
        <v>22</v>
      </c>
      <c r="L253" s="2" t="s">
        <v>23</v>
      </c>
      <c r="M253" t="str">
        <f t="shared" si="19"/>
        <v>69.64</v>
      </c>
      <c r="N253" t="str">
        <f t="shared" si="20"/>
        <v>1786.82</v>
      </c>
      <c r="O253" t="str">
        <f t="shared" si="21"/>
        <v>14.77</v>
      </c>
      <c r="P253" t="str">
        <f t="shared" si="22"/>
        <v>493.68</v>
      </c>
      <c r="Q253" t="str">
        <f t="shared" si="23"/>
        <v>101.25</v>
      </c>
    </row>
    <row r="254" spans="1:17" x14ac:dyDescent="0.25">
      <c r="A254" s="2" t="s">
        <v>137</v>
      </c>
      <c r="B254" s="2" t="s">
        <v>138</v>
      </c>
      <c r="C254" s="2" t="s">
        <v>139</v>
      </c>
      <c r="D254" s="2" t="s">
        <v>140</v>
      </c>
      <c r="E254" s="2" t="s">
        <v>141</v>
      </c>
      <c r="F254" s="2" t="s">
        <v>142</v>
      </c>
      <c r="G254" s="2" t="s">
        <v>63</v>
      </c>
      <c r="H254" s="2" t="s">
        <v>19</v>
      </c>
      <c r="I254" s="2" t="s">
        <v>20</v>
      </c>
      <c r="J254" s="2" t="s">
        <v>50</v>
      </c>
      <c r="K254" s="2" t="s">
        <v>22</v>
      </c>
      <c r="L254" s="2" t="s">
        <v>23</v>
      </c>
      <c r="M254" t="str">
        <f t="shared" si="19"/>
        <v>29.29</v>
      </c>
      <c r="N254" t="str">
        <f t="shared" si="20"/>
        <v>1900.56</v>
      </c>
      <c r="O254" t="str">
        <f t="shared" si="21"/>
        <v>19.14</v>
      </c>
      <c r="P254" t="str">
        <f t="shared" si="22"/>
        <v>680.80</v>
      </c>
      <c r="Q254" t="str">
        <f t="shared" si="23"/>
        <v>194.22</v>
      </c>
    </row>
    <row r="255" spans="1:17" x14ac:dyDescent="0.25">
      <c r="A255" s="2" t="s">
        <v>143</v>
      </c>
      <c r="B255" s="2" t="s">
        <v>144</v>
      </c>
      <c r="C255" s="2" t="s">
        <v>145</v>
      </c>
      <c r="D255" s="2" t="s">
        <v>146</v>
      </c>
      <c r="E255" s="2" t="s">
        <v>147</v>
      </c>
      <c r="F255" s="2" t="s">
        <v>82</v>
      </c>
      <c r="G255" s="2" t="s">
        <v>18</v>
      </c>
      <c r="H255" s="2" t="s">
        <v>76</v>
      </c>
      <c r="I255" s="2" t="s">
        <v>30</v>
      </c>
      <c r="J255" s="2" t="s">
        <v>21</v>
      </c>
      <c r="K255" s="2" t="s">
        <v>22</v>
      </c>
      <c r="L255" s="2" t="s">
        <v>23</v>
      </c>
      <c r="M255" t="str">
        <f t="shared" si="19"/>
        <v>118.72</v>
      </c>
      <c r="N255" t="str">
        <f t="shared" si="20"/>
        <v>106.61</v>
      </c>
      <c r="O255" t="str">
        <f t="shared" si="21"/>
        <v>6.26</v>
      </c>
      <c r="P255" t="str">
        <f t="shared" si="22"/>
        <v>1456.91</v>
      </c>
      <c r="Q255" t="str">
        <f t="shared" si="23"/>
        <v>79.47</v>
      </c>
    </row>
    <row r="256" spans="1:17" x14ac:dyDescent="0.25">
      <c r="A256" s="2" t="s">
        <v>208</v>
      </c>
      <c r="B256" s="2" t="s">
        <v>209</v>
      </c>
      <c r="C256" s="2" t="s">
        <v>210</v>
      </c>
      <c r="D256" s="2" t="s">
        <v>211</v>
      </c>
      <c r="E256" s="2" t="s">
        <v>212</v>
      </c>
      <c r="F256" s="2" t="s">
        <v>213</v>
      </c>
      <c r="G256" s="2" t="s">
        <v>18</v>
      </c>
      <c r="H256" s="2" t="s">
        <v>19</v>
      </c>
      <c r="I256" s="2" t="s">
        <v>20</v>
      </c>
      <c r="J256" s="2" t="s">
        <v>21</v>
      </c>
      <c r="K256" s="2" t="s">
        <v>32</v>
      </c>
      <c r="L256" s="2" t="s">
        <v>33</v>
      </c>
      <c r="M256" t="str">
        <f t="shared" si="19"/>
        <v>12.14</v>
      </c>
      <c r="N256" t="str">
        <f t="shared" si="20"/>
        <v>780.35</v>
      </c>
      <c r="O256" t="str">
        <f t="shared" si="21"/>
        <v>4.14</v>
      </c>
      <c r="P256" t="str">
        <f t="shared" si="22"/>
        <v>158.90</v>
      </c>
      <c r="Q256" t="str">
        <f t="shared" si="23"/>
        <v>45.39</v>
      </c>
    </row>
    <row r="257" spans="1:17" x14ac:dyDescent="0.25">
      <c r="A257" s="2" t="s">
        <v>214</v>
      </c>
      <c r="B257" s="2" t="s">
        <v>215</v>
      </c>
      <c r="C257" s="2" t="s">
        <v>216</v>
      </c>
      <c r="D257" s="2" t="s">
        <v>217</v>
      </c>
      <c r="E257" s="2" t="s">
        <v>218</v>
      </c>
      <c r="F257" s="2" t="s">
        <v>219</v>
      </c>
      <c r="G257" s="2" t="s">
        <v>40</v>
      </c>
      <c r="H257" s="2" t="s">
        <v>41</v>
      </c>
      <c r="I257" s="2" t="s">
        <v>42</v>
      </c>
      <c r="J257" s="2" t="s">
        <v>31</v>
      </c>
      <c r="K257" s="2" t="s">
        <v>32</v>
      </c>
      <c r="L257" s="2" t="s">
        <v>33</v>
      </c>
      <c r="M257" t="str">
        <f t="shared" si="19"/>
        <v>40.66</v>
      </c>
      <c r="N257" t="str">
        <f t="shared" si="20"/>
        <v>1903.89</v>
      </c>
      <c r="O257" t="str">
        <f t="shared" si="21"/>
        <v>37.22</v>
      </c>
      <c r="P257" t="str">
        <f t="shared" si="22"/>
        <v>900.12</v>
      </c>
      <c r="Q257" t="str">
        <f t="shared" si="23"/>
        <v>153.60</v>
      </c>
    </row>
    <row r="258" spans="1:17" x14ac:dyDescent="0.25">
      <c r="A258" s="2" t="s">
        <v>220</v>
      </c>
      <c r="B258" s="2" t="s">
        <v>221</v>
      </c>
      <c r="C258" s="2" t="s">
        <v>222</v>
      </c>
      <c r="D258" s="2" t="s">
        <v>223</v>
      </c>
      <c r="E258" s="2" t="s">
        <v>224</v>
      </c>
      <c r="F258" s="2" t="s">
        <v>225</v>
      </c>
      <c r="G258" s="2" t="s">
        <v>40</v>
      </c>
      <c r="H258" s="2" t="s">
        <v>49</v>
      </c>
      <c r="I258" s="2" t="s">
        <v>20</v>
      </c>
      <c r="J258" s="2" t="s">
        <v>31</v>
      </c>
      <c r="K258" s="2" t="s">
        <v>22</v>
      </c>
      <c r="L258" s="2" t="s">
        <v>23</v>
      </c>
      <c r="M258" t="str">
        <f t="shared" si="19"/>
        <v>34.68</v>
      </c>
      <c r="N258" t="str">
        <f t="shared" si="20"/>
        <v>1477.39</v>
      </c>
      <c r="O258" t="str">
        <f t="shared" si="21"/>
        <v>25.83</v>
      </c>
      <c r="P258" t="str">
        <f t="shared" si="22"/>
        <v>743.11</v>
      </c>
      <c r="Q258" t="str">
        <f t="shared" si="23"/>
        <v>19.97</v>
      </c>
    </row>
    <row r="259" spans="1:17" x14ac:dyDescent="0.25">
      <c r="A259" s="2" t="s">
        <v>226</v>
      </c>
      <c r="B259" s="2" t="s">
        <v>227</v>
      </c>
      <c r="C259" s="2" t="s">
        <v>228</v>
      </c>
      <c r="D259" s="2" t="s">
        <v>229</v>
      </c>
      <c r="E259" s="2" t="s">
        <v>230</v>
      </c>
      <c r="F259" s="2" t="s">
        <v>231</v>
      </c>
      <c r="G259" s="2" t="s">
        <v>40</v>
      </c>
      <c r="H259" s="2" t="s">
        <v>76</v>
      </c>
      <c r="I259" s="2" t="s">
        <v>20</v>
      </c>
      <c r="J259" s="2" t="s">
        <v>21</v>
      </c>
      <c r="K259" s="2" t="s">
        <v>32</v>
      </c>
      <c r="L259" s="2" t="s">
        <v>33</v>
      </c>
      <c r="M259" t="str">
        <f t="shared" si="19"/>
        <v>15.62</v>
      </c>
      <c r="N259" t="str">
        <f t="shared" si="20"/>
        <v>1217.38</v>
      </c>
      <c r="O259" t="str">
        <f t="shared" si="21"/>
        <v>9.96</v>
      </c>
      <c r="P259" t="str">
        <f t="shared" si="22"/>
        <v>308.81</v>
      </c>
      <c r="Q259" t="str">
        <f t="shared" si="23"/>
        <v>273.70</v>
      </c>
    </row>
    <row r="260" spans="1:17" x14ac:dyDescent="0.25">
      <c r="A260" s="2" t="s">
        <v>232</v>
      </c>
      <c r="B260" s="2" t="s">
        <v>233</v>
      </c>
      <c r="C260" s="2" t="s">
        <v>234</v>
      </c>
      <c r="D260" s="2" t="s">
        <v>235</v>
      </c>
      <c r="E260" s="2" t="s">
        <v>236</v>
      </c>
      <c r="F260" s="2" t="s">
        <v>237</v>
      </c>
      <c r="G260" s="2" t="s">
        <v>40</v>
      </c>
      <c r="H260" s="2" t="s">
        <v>41</v>
      </c>
      <c r="I260" s="2" t="s">
        <v>20</v>
      </c>
      <c r="J260" s="2" t="s">
        <v>21</v>
      </c>
      <c r="K260" s="2" t="s">
        <v>22</v>
      </c>
      <c r="L260" s="2" t="s">
        <v>23</v>
      </c>
      <c r="M260" t="str">
        <f t="shared" ref="M260:M272" si="24">LEFT(A260,(LEN(A260)-LEN(RIGHT(A260,6))))</f>
        <v>4.51</v>
      </c>
      <c r="N260" t="str">
        <f t="shared" si="20"/>
        <v>354.24</v>
      </c>
      <c r="O260" t="str">
        <f t="shared" si="21"/>
        <v>2.74</v>
      </c>
      <c r="P260" t="str">
        <f t="shared" si="22"/>
        <v>92.20</v>
      </c>
      <c r="Q260" t="str">
        <f t="shared" si="23"/>
        <v>85.05</v>
      </c>
    </row>
    <row r="261" spans="1:17" x14ac:dyDescent="0.25">
      <c r="A261" s="2" t="s">
        <v>238</v>
      </c>
      <c r="B261" s="2" t="s">
        <v>239</v>
      </c>
      <c r="C261" s="2" t="s">
        <v>240</v>
      </c>
      <c r="D261" s="2" t="s">
        <v>241</v>
      </c>
      <c r="E261" s="2" t="s">
        <v>242</v>
      </c>
      <c r="F261" s="2" t="s">
        <v>243</v>
      </c>
      <c r="G261" s="2" t="s">
        <v>40</v>
      </c>
      <c r="H261" s="2" t="s">
        <v>49</v>
      </c>
      <c r="I261" s="2" t="s">
        <v>20</v>
      </c>
      <c r="J261" s="2" t="s">
        <v>21</v>
      </c>
      <c r="K261" s="2" t="s">
        <v>32</v>
      </c>
      <c r="L261" s="2" t="s">
        <v>23</v>
      </c>
      <c r="M261" t="str">
        <f t="shared" si="24"/>
        <v>4.90</v>
      </c>
      <c r="N261" t="str">
        <f t="shared" si="20"/>
        <v>354.19</v>
      </c>
      <c r="O261" t="str">
        <f t="shared" si="21"/>
        <v>2.75</v>
      </c>
      <c r="P261" t="str">
        <f t="shared" si="22"/>
        <v>119.57</v>
      </c>
      <c r="Q261" t="str">
        <f t="shared" si="23"/>
        <v>202.13</v>
      </c>
    </row>
    <row r="262" spans="1:17" x14ac:dyDescent="0.25">
      <c r="A262" s="2" t="s">
        <v>244</v>
      </c>
      <c r="B262" s="2" t="s">
        <v>245</v>
      </c>
      <c r="C262" s="2" t="s">
        <v>246</v>
      </c>
      <c r="D262" s="2" t="s">
        <v>247</v>
      </c>
      <c r="E262" s="2" t="s">
        <v>248</v>
      </c>
      <c r="F262" s="2" t="s">
        <v>249</v>
      </c>
      <c r="G262" s="2" t="s">
        <v>40</v>
      </c>
      <c r="H262" s="2" t="s">
        <v>41</v>
      </c>
      <c r="I262" s="2" t="s">
        <v>30</v>
      </c>
      <c r="J262" s="2" t="s">
        <v>31</v>
      </c>
      <c r="K262" s="2" t="s">
        <v>22</v>
      </c>
      <c r="L262" s="2" t="s">
        <v>33</v>
      </c>
      <c r="M262" t="str">
        <f t="shared" si="24"/>
        <v>3.13</v>
      </c>
      <c r="N262" t="str">
        <f t="shared" si="20"/>
        <v>163.26</v>
      </c>
      <c r="O262" t="str">
        <f t="shared" si="21"/>
        <v>1.56</v>
      </c>
      <c r="P262" t="str">
        <f t="shared" si="22"/>
        <v>40.58</v>
      </c>
      <c r="Q262" t="str">
        <f t="shared" si="23"/>
        <v>100.40</v>
      </c>
    </row>
    <row r="263" spans="1:17" x14ac:dyDescent="0.25">
      <c r="A263" s="2" t="s">
        <v>208</v>
      </c>
      <c r="B263" s="2" t="s">
        <v>209</v>
      </c>
      <c r="C263" s="2" t="s">
        <v>210</v>
      </c>
      <c r="D263" s="2" t="s">
        <v>211</v>
      </c>
      <c r="E263" s="2" t="s">
        <v>212</v>
      </c>
      <c r="F263" s="2" t="s">
        <v>213</v>
      </c>
      <c r="G263" s="2" t="s">
        <v>18</v>
      </c>
      <c r="H263" s="2" t="s">
        <v>19</v>
      </c>
      <c r="I263" s="2" t="s">
        <v>20</v>
      </c>
      <c r="J263" s="2" t="s">
        <v>21</v>
      </c>
      <c r="K263" s="2" t="s">
        <v>32</v>
      </c>
      <c r="L263" s="2" t="s">
        <v>33</v>
      </c>
      <c r="M263" t="str">
        <f t="shared" si="24"/>
        <v>12.14</v>
      </c>
      <c r="N263" t="str">
        <f t="shared" si="20"/>
        <v>780.35</v>
      </c>
      <c r="O263" t="str">
        <f t="shared" si="21"/>
        <v>4.14</v>
      </c>
      <c r="P263" t="str">
        <f t="shared" si="22"/>
        <v>158.90</v>
      </c>
      <c r="Q263" t="str">
        <f t="shared" si="23"/>
        <v>45.39</v>
      </c>
    </row>
    <row r="264" spans="1:17" x14ac:dyDescent="0.25">
      <c r="A264" s="2" t="s">
        <v>214</v>
      </c>
      <c r="B264" s="2" t="s">
        <v>215</v>
      </c>
      <c r="C264" s="2" t="s">
        <v>216</v>
      </c>
      <c r="D264" s="2" t="s">
        <v>217</v>
      </c>
      <c r="E264" s="2" t="s">
        <v>218</v>
      </c>
      <c r="F264" s="2" t="s">
        <v>219</v>
      </c>
      <c r="G264" s="2" t="s">
        <v>40</v>
      </c>
      <c r="H264" s="2" t="s">
        <v>41</v>
      </c>
      <c r="I264" s="2" t="s">
        <v>42</v>
      </c>
      <c r="J264" s="2" t="s">
        <v>31</v>
      </c>
      <c r="K264" s="2" t="s">
        <v>32</v>
      </c>
      <c r="L264" s="2" t="s">
        <v>33</v>
      </c>
      <c r="M264" t="str">
        <f t="shared" si="24"/>
        <v>40.66</v>
      </c>
      <c r="N264" t="str">
        <f t="shared" si="20"/>
        <v>1903.89</v>
      </c>
      <c r="O264" t="str">
        <f t="shared" si="21"/>
        <v>37.22</v>
      </c>
      <c r="P264" t="str">
        <f t="shared" si="22"/>
        <v>900.12</v>
      </c>
      <c r="Q264" t="str">
        <f t="shared" si="23"/>
        <v>153.60</v>
      </c>
    </row>
    <row r="265" spans="1:17" x14ac:dyDescent="0.25">
      <c r="A265" s="2" t="s">
        <v>220</v>
      </c>
      <c r="B265" s="2" t="s">
        <v>221</v>
      </c>
      <c r="C265" s="2" t="s">
        <v>222</v>
      </c>
      <c r="D265" s="2" t="s">
        <v>223</v>
      </c>
      <c r="E265" s="2" t="s">
        <v>224</v>
      </c>
      <c r="F265" s="2" t="s">
        <v>225</v>
      </c>
      <c r="G265" s="2" t="s">
        <v>40</v>
      </c>
      <c r="H265" s="2" t="s">
        <v>49</v>
      </c>
      <c r="I265" s="2" t="s">
        <v>20</v>
      </c>
      <c r="J265" s="2" t="s">
        <v>31</v>
      </c>
      <c r="K265" s="2" t="s">
        <v>22</v>
      </c>
      <c r="L265" s="2" t="s">
        <v>23</v>
      </c>
      <c r="M265" t="str">
        <f t="shared" si="24"/>
        <v>34.68</v>
      </c>
      <c r="N265" t="str">
        <f t="shared" si="20"/>
        <v>1477.39</v>
      </c>
      <c r="O265" t="str">
        <f t="shared" si="21"/>
        <v>25.83</v>
      </c>
      <c r="P265" t="str">
        <f t="shared" si="22"/>
        <v>743.11</v>
      </c>
      <c r="Q265" t="str">
        <f t="shared" si="23"/>
        <v>19.97</v>
      </c>
    </row>
    <row r="266" spans="1:17" x14ac:dyDescent="0.25">
      <c r="A266" s="2" t="s">
        <v>226</v>
      </c>
      <c r="B266" s="2" t="s">
        <v>227</v>
      </c>
      <c r="C266" s="2" t="s">
        <v>228</v>
      </c>
      <c r="D266" s="2" t="s">
        <v>229</v>
      </c>
      <c r="E266" s="2" t="s">
        <v>230</v>
      </c>
      <c r="F266" s="2" t="s">
        <v>231</v>
      </c>
      <c r="G266" s="2" t="s">
        <v>40</v>
      </c>
      <c r="H266" s="2" t="s">
        <v>76</v>
      </c>
      <c r="I266" s="2" t="s">
        <v>20</v>
      </c>
      <c r="J266" s="2" t="s">
        <v>21</v>
      </c>
      <c r="K266" s="2" t="s">
        <v>32</v>
      </c>
      <c r="L266" s="2" t="s">
        <v>33</v>
      </c>
      <c r="M266" t="str">
        <f t="shared" si="24"/>
        <v>15.62</v>
      </c>
      <c r="N266" t="str">
        <f t="shared" si="20"/>
        <v>1217.38</v>
      </c>
      <c r="O266" t="str">
        <f t="shared" si="21"/>
        <v>9.96</v>
      </c>
      <c r="P266" t="str">
        <f t="shared" si="22"/>
        <v>308.81</v>
      </c>
      <c r="Q266" t="str">
        <f t="shared" si="23"/>
        <v>273.70</v>
      </c>
    </row>
    <row r="267" spans="1:17" x14ac:dyDescent="0.25">
      <c r="A267" s="2" t="s">
        <v>232</v>
      </c>
      <c r="B267" s="2" t="s">
        <v>233</v>
      </c>
      <c r="C267" s="2" t="s">
        <v>234</v>
      </c>
      <c r="D267" s="2" t="s">
        <v>235</v>
      </c>
      <c r="E267" s="2" t="s">
        <v>236</v>
      </c>
      <c r="F267" s="2" t="s">
        <v>237</v>
      </c>
      <c r="G267" s="2" t="s">
        <v>40</v>
      </c>
      <c r="H267" s="2" t="s">
        <v>41</v>
      </c>
      <c r="I267" s="2" t="s">
        <v>20</v>
      </c>
      <c r="J267" s="2" t="s">
        <v>21</v>
      </c>
      <c r="K267" s="2" t="s">
        <v>22</v>
      </c>
      <c r="L267" s="2" t="s">
        <v>23</v>
      </c>
      <c r="M267" t="str">
        <f t="shared" si="24"/>
        <v>4.51</v>
      </c>
      <c r="N267" t="str">
        <f t="shared" si="20"/>
        <v>354.24</v>
      </c>
      <c r="O267" t="str">
        <f t="shared" si="21"/>
        <v>2.74</v>
      </c>
      <c r="P267" t="str">
        <f t="shared" si="22"/>
        <v>92.20</v>
      </c>
      <c r="Q267" t="str">
        <f t="shared" si="23"/>
        <v>85.05</v>
      </c>
    </row>
    <row r="268" spans="1:17" x14ac:dyDescent="0.25">
      <c r="A268" s="2" t="s">
        <v>238</v>
      </c>
      <c r="B268" s="2" t="s">
        <v>239</v>
      </c>
      <c r="C268" s="2" t="s">
        <v>240</v>
      </c>
      <c r="D268" s="2" t="s">
        <v>241</v>
      </c>
      <c r="E268" s="2" t="s">
        <v>242</v>
      </c>
      <c r="F268" s="2" t="s">
        <v>243</v>
      </c>
      <c r="G268" s="2" t="s">
        <v>40</v>
      </c>
      <c r="H268" s="2" t="s">
        <v>49</v>
      </c>
      <c r="I268" s="2" t="s">
        <v>20</v>
      </c>
      <c r="J268" s="2" t="s">
        <v>21</v>
      </c>
      <c r="K268" s="2" t="s">
        <v>32</v>
      </c>
      <c r="L268" s="2" t="s">
        <v>23</v>
      </c>
      <c r="M268" t="str">
        <f t="shared" si="24"/>
        <v>4.90</v>
      </c>
      <c r="N268" t="str">
        <f t="shared" ref="N268:N272" si="25">LEFT(C268,(LEN(C268)-LEN(RIGHT(C268,3))))</f>
        <v>354.19</v>
      </c>
      <c r="O268" t="str">
        <f t="shared" ref="O268:O272" si="26">LEFT(D268,(LEN(D268)-LEN(RIGHT(D268,3))))</f>
        <v>2.75</v>
      </c>
      <c r="P268" t="str">
        <f t="shared" ref="P268:P272" si="27">LEFT(E268,(LEN(E268)-LEN(RIGHT(E268,3))))</f>
        <v>119.57</v>
      </c>
      <c r="Q268" t="str">
        <f t="shared" ref="Q268:Q272" si="28">LEFT(F268,(LEN(F268)-LEN(RIGHT(F268,8))))</f>
        <v>202.13</v>
      </c>
    </row>
    <row r="269" spans="1:17" x14ac:dyDescent="0.25">
      <c r="A269" s="2" t="s">
        <v>244</v>
      </c>
      <c r="B269" s="2" t="s">
        <v>245</v>
      </c>
      <c r="C269" s="2" t="s">
        <v>246</v>
      </c>
      <c r="D269" s="2" t="s">
        <v>247</v>
      </c>
      <c r="E269" s="2" t="s">
        <v>248</v>
      </c>
      <c r="F269" s="2" t="s">
        <v>249</v>
      </c>
      <c r="G269" s="2" t="s">
        <v>40</v>
      </c>
      <c r="H269" s="2" t="s">
        <v>41</v>
      </c>
      <c r="I269" s="2" t="s">
        <v>30</v>
      </c>
      <c r="J269" s="2" t="s">
        <v>31</v>
      </c>
      <c r="K269" s="2" t="s">
        <v>22</v>
      </c>
      <c r="L269" s="2" t="s">
        <v>33</v>
      </c>
      <c r="M269" t="str">
        <f t="shared" si="24"/>
        <v>3.13</v>
      </c>
      <c r="N269" t="str">
        <f t="shared" si="25"/>
        <v>163.26</v>
      </c>
      <c r="O269" t="str">
        <f t="shared" si="26"/>
        <v>1.56</v>
      </c>
      <c r="P269" t="str">
        <f t="shared" si="27"/>
        <v>40.58</v>
      </c>
      <c r="Q269" t="str">
        <f t="shared" si="28"/>
        <v>100.40</v>
      </c>
    </row>
    <row r="270" spans="1:17" x14ac:dyDescent="0.25">
      <c r="A270" s="2" t="s">
        <v>250</v>
      </c>
      <c r="B270" s="2" t="s">
        <v>251</v>
      </c>
      <c r="C270" s="2" t="s">
        <v>252</v>
      </c>
      <c r="D270" s="2" t="s">
        <v>253</v>
      </c>
      <c r="E270" s="2" t="s">
        <v>254</v>
      </c>
      <c r="F270" s="2" t="s">
        <v>255</v>
      </c>
      <c r="G270" s="2" t="s">
        <v>18</v>
      </c>
      <c r="H270" s="2" t="s">
        <v>49</v>
      </c>
      <c r="I270" s="2" t="s">
        <v>20</v>
      </c>
      <c r="J270" s="2" t="s">
        <v>21</v>
      </c>
      <c r="K270" s="2" t="s">
        <v>32</v>
      </c>
      <c r="L270" s="2" t="s">
        <v>33</v>
      </c>
      <c r="M270" t="str">
        <f t="shared" si="24"/>
        <v>39.61</v>
      </c>
      <c r="N270" t="str">
        <f t="shared" si="25"/>
        <v>1739.04</v>
      </c>
      <c r="O270" t="str">
        <f t="shared" si="26"/>
        <v>22.38</v>
      </c>
      <c r="P270" t="str">
        <f t="shared" si="27"/>
        <v>792.99</v>
      </c>
      <c r="Q270" t="str">
        <f t="shared" si="28"/>
        <v>160.82</v>
      </c>
    </row>
    <row r="271" spans="1:17" x14ac:dyDescent="0.25">
      <c r="A271" s="2" t="s">
        <v>256</v>
      </c>
      <c r="B271" s="2" t="s">
        <v>257</v>
      </c>
      <c r="C271" s="2" t="s">
        <v>258</v>
      </c>
      <c r="D271" s="2" t="s">
        <v>259</v>
      </c>
      <c r="E271" s="2" t="s">
        <v>260</v>
      </c>
      <c r="F271" s="2" t="s">
        <v>261</v>
      </c>
      <c r="G271" s="2" t="s">
        <v>18</v>
      </c>
      <c r="H271" s="2" t="s">
        <v>76</v>
      </c>
      <c r="I271" s="2" t="s">
        <v>20</v>
      </c>
      <c r="J271" s="2" t="s">
        <v>21</v>
      </c>
      <c r="K271" s="2" t="s">
        <v>32</v>
      </c>
      <c r="L271" s="2" t="s">
        <v>23</v>
      </c>
      <c r="M271" t="str">
        <f t="shared" si="24"/>
        <v>18.14</v>
      </c>
      <c r="N271" t="str">
        <f t="shared" si="25"/>
        <v>1222.17</v>
      </c>
      <c r="O271" t="str">
        <f t="shared" si="26"/>
        <v>14.03</v>
      </c>
      <c r="P271" t="str">
        <f t="shared" si="27"/>
        <v>529.93</v>
      </c>
      <c r="Q271" t="str">
        <f t="shared" si="28"/>
        <v>168.55</v>
      </c>
    </row>
    <row r="272" spans="1:17" x14ac:dyDescent="0.25">
      <c r="A272" s="2" t="s">
        <v>262</v>
      </c>
      <c r="B272" s="2" t="s">
        <v>263</v>
      </c>
      <c r="C272" s="2" t="s">
        <v>264</v>
      </c>
      <c r="D272" s="2" t="s">
        <v>265</v>
      </c>
      <c r="E272" s="2" t="s">
        <v>266</v>
      </c>
      <c r="F272" s="2" t="s">
        <v>267</v>
      </c>
      <c r="G272" s="2" t="s">
        <v>40</v>
      </c>
      <c r="H272" s="2" t="s">
        <v>19</v>
      </c>
      <c r="I272" s="2" t="s">
        <v>20</v>
      </c>
      <c r="J272" s="2" t="s">
        <v>31</v>
      </c>
      <c r="K272" s="2" t="s">
        <v>22</v>
      </c>
      <c r="L272" s="2" t="s">
        <v>23</v>
      </c>
      <c r="M272" t="str">
        <f t="shared" si="24"/>
        <v>24.84</v>
      </c>
      <c r="N272" t="str">
        <f t="shared" si="25"/>
        <v>1430.74</v>
      </c>
      <c r="O272" t="str">
        <f t="shared" si="26"/>
        <v>13.40</v>
      </c>
      <c r="P272" t="str">
        <f t="shared" si="27"/>
        <v>286.75</v>
      </c>
      <c r="Q272" t="str">
        <f t="shared" si="28"/>
        <v>63.61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BAEZ</dc:creator>
  <cp:lastModifiedBy>BAEZ</cp:lastModifiedBy>
  <dcterms:created xsi:type="dcterms:W3CDTF">2024-11-23T13:03:35Z</dcterms:created>
  <dcterms:modified xsi:type="dcterms:W3CDTF">2024-11-28T21:04:58Z</dcterms:modified>
</cp:coreProperties>
</file>