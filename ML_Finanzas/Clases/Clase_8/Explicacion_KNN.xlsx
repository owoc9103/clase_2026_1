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oc9\Documents\U Javeriana\2026-I\ML_Finanzas\Clases\Clase_7\"/>
    </mc:Choice>
  </mc:AlternateContent>
  <xr:revisionPtr revIDLastSave="0" documentId="8_{DB26CCCD-5769-47D4-8396-D2FAFED35AB8}" xr6:coauthVersionLast="47" xr6:coauthVersionMax="47" xr10:uidLastSave="{00000000-0000-0000-0000-000000000000}"/>
  <bookViews>
    <workbookView xWindow="-108" yWindow="-108" windowWidth="23256" windowHeight="13896" xr2:uid="{B71BEC34-7C00-4D08-9B15-62869D82F0F5}"/>
  </bookViews>
  <sheets>
    <sheet name="Hoja1" sheetId="1" r:id="rId1"/>
    <sheet name="Hoja1 (2)" sheetId="2" r:id="rId2"/>
    <sheet name="Hoja1 (3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E13" i="3"/>
  <c r="E12" i="3"/>
  <c r="E11" i="3"/>
  <c r="E10" i="3"/>
  <c r="A14" i="3"/>
  <c r="A13" i="3"/>
  <c r="A12" i="3"/>
  <c r="A11" i="3"/>
  <c r="A10" i="3"/>
  <c r="K9" i="3"/>
  <c r="A9" i="3"/>
  <c r="E11" i="2"/>
  <c r="E12" i="2"/>
  <c r="E13" i="2"/>
  <c r="E14" i="2"/>
  <c r="E10" i="2"/>
  <c r="A14" i="2"/>
  <c r="A13" i="2"/>
  <c r="A12" i="2"/>
  <c r="A11" i="2"/>
  <c r="A10" i="2"/>
  <c r="K9" i="2"/>
  <c r="A9" i="2"/>
  <c r="K9" i="1"/>
  <c r="E11" i="1"/>
  <c r="E12" i="1"/>
  <c r="E13" i="1"/>
  <c r="E14" i="1"/>
  <c r="E10" i="1"/>
  <c r="A14" i="1"/>
  <c r="A13" i="1"/>
  <c r="A12" i="1"/>
  <c r="A11" i="1"/>
  <c r="A10" i="1"/>
  <c r="A9" i="1"/>
</calcChain>
</file>

<file path=xl/sharedStrings.xml><?xml version="1.0" encoding="utf-8"?>
<sst xmlns="http://schemas.openxmlformats.org/spreadsheetml/2006/main" count="103" uniqueCount="24">
  <si>
    <t>Vivienda</t>
  </si>
  <si>
    <t>(X₁, X₂)</t>
  </si>
  <si>
    <t>Precio</t>
  </si>
  <si>
    <t>Distancia Euclidiana a Q=(2.5, 2)</t>
  </si>
  <si>
    <t>A</t>
  </si>
  <si>
    <t>(1, 2)</t>
  </si>
  <si>
    <t>B</t>
  </si>
  <si>
    <t>(2, 3)</t>
  </si>
  <si>
    <t>C</t>
  </si>
  <si>
    <t>(3, 1)</t>
  </si>
  <si>
    <t>D</t>
  </si>
  <si>
    <t>(4, 4)</t>
  </si>
  <si>
    <t>E</t>
  </si>
  <si>
    <t>(5, 2)</t>
  </si>
  <si>
    <t>Distancia_Euclidiana</t>
  </si>
  <si>
    <t>X1:mts</t>
  </si>
  <si>
    <t>X2:Habitaciones</t>
  </si>
  <si>
    <t>Q</t>
  </si>
  <si>
    <t>k=3</t>
  </si>
  <si>
    <t>k</t>
  </si>
  <si>
    <t>y_pred</t>
  </si>
  <si>
    <t>Distancia_Manhattan</t>
  </si>
  <si>
    <t>p</t>
  </si>
  <si>
    <t>Distancia Minkowski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</si>
</sst>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3" x14ac:knownFonts="1">
    <font>
      <sz val="11"/>
      <color theme="1"/>
      <name val="Aptos Narrow"/>
      <family val="2"/>
      <scheme val="minor"/>
    </font>
    <font>
      <b/>
      <sz val="10"/>
      <color rgb="FFFAFAFA"/>
      <name val="Arial"/>
      <family val="2"/>
    </font>
    <font>
      <sz val="10"/>
      <color rgb="FFFAFAF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E11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505097</xdr:colOff>
      <xdr:row>1</xdr:row>
      <xdr:rowOff>235133</xdr:rowOff>
    </xdr:from>
    <xdr:to>
      <xdr:col>9</xdr:col>
      <xdr:colOff>175885</xdr:colOff>
      <xdr:row>3</xdr:row>
      <xdr:rowOff>65087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E8A4A9-C01E-0BB1-3904-634F65641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5017" y="418013"/>
          <a:ext cx="3633188" cy="5179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20</xdr:col>
      <xdr:colOff>115203</xdr:colOff>
      <xdr:row>7</xdr:row>
      <xdr:rowOff>15321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7E86FE-A001-6690-97C2-A7C2E8CD9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7360" y="687977"/>
          <a:ext cx="10417443" cy="9297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700086</xdr:colOff>
      <xdr:row>0</xdr:row>
      <xdr:rowOff>0</xdr:rowOff>
    </xdr:from>
    <xdr:to>
      <xdr:col>9</xdr:col>
      <xdr:colOff>1095</xdr:colOff>
      <xdr:row>1</xdr:row>
      <xdr:rowOff>452941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067EDE-8BE7-F40A-2567-051D3275C8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297"/>
        <a:stretch>
          <a:fillRect/>
        </a:stretch>
      </xdr:blipFill>
      <xdr:spPr>
        <a:xfrm>
          <a:off x="3074009" y="0"/>
          <a:ext cx="4048855" cy="634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7022-291B-4853-874A-AE7D5E4F828E}">
  <dimension ref="A2:K22"/>
  <sheetViews>
    <sheetView tabSelected="1" topLeftCell="A2" zoomScale="175" zoomScaleNormal="175" workbookViewId="0">
      <selection activeCell="D11" activeCellId="1" sqref="D13:D14 D11"/>
    </sheetView>
  </sheetViews>
  <sheetFormatPr baseColWidth="10" defaultRowHeight="14.4" x14ac:dyDescent="0.3"/>
  <sheetData>
    <row r="2" spans="1:11" ht="39.6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11" x14ac:dyDescent="0.3">
      <c r="A3" s="2" t="s">
        <v>4</v>
      </c>
      <c r="B3" s="2" t="s">
        <v>5</v>
      </c>
      <c r="C3" s="2">
        <v>10</v>
      </c>
      <c r="D3" s="2">
        <v>1.5</v>
      </c>
    </row>
    <row r="4" spans="1:11" x14ac:dyDescent="0.3">
      <c r="A4" s="2" t="s">
        <v>6</v>
      </c>
      <c r="B4" s="2" t="s">
        <v>7</v>
      </c>
      <c r="C4" s="2">
        <v>15</v>
      </c>
      <c r="D4" s="2">
        <v>1.1180000000000001</v>
      </c>
    </row>
    <row r="5" spans="1:11" x14ac:dyDescent="0.3">
      <c r="A5" s="2" t="s">
        <v>8</v>
      </c>
      <c r="B5" s="2" t="s">
        <v>9</v>
      </c>
      <c r="C5" s="2">
        <v>12</v>
      </c>
      <c r="D5" s="2">
        <v>1.1180000000000001</v>
      </c>
    </row>
    <row r="6" spans="1:11" x14ac:dyDescent="0.3">
      <c r="A6" s="2" t="s">
        <v>10</v>
      </c>
      <c r="B6" s="2" t="s">
        <v>11</v>
      </c>
      <c r="C6" s="2">
        <v>20</v>
      </c>
      <c r="D6" s="2">
        <v>2.5</v>
      </c>
    </row>
    <row r="7" spans="1:11" x14ac:dyDescent="0.3">
      <c r="A7" s="2" t="s">
        <v>12</v>
      </c>
      <c r="B7" s="2" t="s">
        <v>13</v>
      </c>
      <c r="C7" s="2">
        <v>18</v>
      </c>
      <c r="D7" s="2">
        <v>2.5</v>
      </c>
    </row>
    <row r="8" spans="1:11" x14ac:dyDescent="0.3">
      <c r="G8" t="s">
        <v>17</v>
      </c>
      <c r="H8" t="s">
        <v>15</v>
      </c>
      <c r="I8" t="s">
        <v>16</v>
      </c>
    </row>
    <row r="9" spans="1:11" x14ac:dyDescent="0.3">
      <c r="A9" t="str">
        <f>A2</f>
        <v>Vivienda</v>
      </c>
      <c r="B9" t="s">
        <v>15</v>
      </c>
      <c r="C9" t="s">
        <v>16</v>
      </c>
      <c r="D9" t="s">
        <v>2</v>
      </c>
      <c r="E9" t="s">
        <v>14</v>
      </c>
      <c r="H9">
        <v>2.5</v>
      </c>
      <c r="I9">
        <v>2</v>
      </c>
      <c r="J9" t="s">
        <v>20</v>
      </c>
      <c r="K9">
        <f>AVERAGE(D18:D20)</f>
        <v>12.333333333333334</v>
      </c>
    </row>
    <row r="10" spans="1:11" x14ac:dyDescent="0.3">
      <c r="A10" t="str">
        <f t="shared" ref="A10:A14" si="0">A3</f>
        <v>A</v>
      </c>
      <c r="B10">
        <v>1</v>
      </c>
      <c r="C10">
        <v>2</v>
      </c>
      <c r="D10">
        <v>10</v>
      </c>
      <c r="E10">
        <f>POWER(POWER(($H$9-B10),2)+POWER(($I$9-C10),2),0.5)</f>
        <v>1.5</v>
      </c>
    </row>
    <row r="11" spans="1:11" x14ac:dyDescent="0.3">
      <c r="A11" t="str">
        <f t="shared" si="0"/>
        <v>B</v>
      </c>
      <c r="B11">
        <v>2</v>
      </c>
      <c r="C11">
        <v>3</v>
      </c>
      <c r="D11">
        <v>15</v>
      </c>
      <c r="E11">
        <f t="shared" ref="E11:E14" si="1">POWER(POWER(($H$9-B11),2)+POWER(($I$9-C11),2),0.5)</f>
        <v>1.1180339887498949</v>
      </c>
    </row>
    <row r="12" spans="1:11" x14ac:dyDescent="0.3">
      <c r="A12" t="str">
        <f t="shared" si="0"/>
        <v>C</v>
      </c>
      <c r="B12">
        <v>3</v>
      </c>
      <c r="C12">
        <v>1</v>
      </c>
      <c r="D12">
        <v>12</v>
      </c>
      <c r="E12">
        <f t="shared" si="1"/>
        <v>1.1180339887498949</v>
      </c>
    </row>
    <row r="13" spans="1:11" x14ac:dyDescent="0.3">
      <c r="A13" t="str">
        <f t="shared" si="0"/>
        <v>D</v>
      </c>
      <c r="B13">
        <v>4</v>
      </c>
      <c r="C13">
        <v>4</v>
      </c>
      <c r="D13">
        <v>20</v>
      </c>
      <c r="E13">
        <f t="shared" si="1"/>
        <v>2.5</v>
      </c>
    </row>
    <row r="14" spans="1:11" x14ac:dyDescent="0.3">
      <c r="A14" t="str">
        <f t="shared" si="0"/>
        <v>E</v>
      </c>
      <c r="B14">
        <v>5</v>
      </c>
      <c r="C14">
        <v>2</v>
      </c>
      <c r="D14">
        <v>18</v>
      </c>
      <c r="E14">
        <f t="shared" si="1"/>
        <v>2.5</v>
      </c>
    </row>
    <row r="17" spans="1:7" x14ac:dyDescent="0.3">
      <c r="A17" t="s">
        <v>0</v>
      </c>
      <c r="B17" t="s">
        <v>15</v>
      </c>
      <c r="C17" t="s">
        <v>16</v>
      </c>
      <c r="D17" t="s">
        <v>2</v>
      </c>
      <c r="E17" t="s">
        <v>14</v>
      </c>
      <c r="F17" t="s">
        <v>19</v>
      </c>
      <c r="G17" t="s">
        <v>18</v>
      </c>
    </row>
    <row r="18" spans="1:7" x14ac:dyDescent="0.3">
      <c r="A18" t="s">
        <v>6</v>
      </c>
      <c r="B18">
        <v>2</v>
      </c>
      <c r="C18">
        <v>3</v>
      </c>
      <c r="D18">
        <v>15</v>
      </c>
      <c r="E18">
        <v>1.1180339887498949</v>
      </c>
      <c r="F18">
        <v>1</v>
      </c>
    </row>
    <row r="19" spans="1:7" x14ac:dyDescent="0.3">
      <c r="A19" t="s">
        <v>8</v>
      </c>
      <c r="B19">
        <v>3</v>
      </c>
      <c r="C19">
        <v>1</v>
      </c>
      <c r="D19">
        <v>12</v>
      </c>
      <c r="E19">
        <v>1.1180339887498949</v>
      </c>
      <c r="F19">
        <v>2</v>
      </c>
    </row>
    <row r="20" spans="1:7" x14ac:dyDescent="0.3">
      <c r="A20" t="s">
        <v>4</v>
      </c>
      <c r="B20">
        <v>1</v>
      </c>
      <c r="C20">
        <v>2</v>
      </c>
      <c r="D20">
        <v>10</v>
      </c>
      <c r="E20">
        <v>1.5</v>
      </c>
      <c r="F20">
        <v>3</v>
      </c>
    </row>
    <row r="21" spans="1:7" x14ac:dyDescent="0.3">
      <c r="A21" t="s">
        <v>10</v>
      </c>
      <c r="B21">
        <v>4</v>
      </c>
      <c r="C21">
        <v>4</v>
      </c>
      <c r="D21">
        <v>20</v>
      </c>
      <c r="E21">
        <v>2.5</v>
      </c>
      <c r="F21">
        <v>4</v>
      </c>
    </row>
    <row r="22" spans="1:7" x14ac:dyDescent="0.3">
      <c r="A22" t="s">
        <v>12</v>
      </c>
      <c r="B22">
        <v>5</v>
      </c>
      <c r="C22">
        <v>2</v>
      </c>
      <c r="D22">
        <v>18</v>
      </c>
      <c r="E22">
        <v>2.5</v>
      </c>
      <c r="F22">
        <v>5</v>
      </c>
    </row>
  </sheetData>
  <sortState xmlns:xlrd2="http://schemas.microsoft.com/office/spreadsheetml/2017/richdata2" ref="A18:E22">
    <sortCondition ref="E18:E2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C440-E93D-4B7B-B54B-7A55F9E167A9}">
  <dimension ref="A2:K22"/>
  <sheetViews>
    <sheetView topLeftCell="A9" zoomScale="160" zoomScaleNormal="160" workbookViewId="0">
      <selection activeCell="A18" sqref="A18:A20"/>
    </sheetView>
  </sheetViews>
  <sheetFormatPr baseColWidth="10" defaultRowHeight="14.4" x14ac:dyDescent="0.3"/>
  <sheetData>
    <row r="2" spans="1:11" ht="39.6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11" x14ac:dyDescent="0.3">
      <c r="A3" s="2" t="s">
        <v>4</v>
      </c>
      <c r="B3" s="2" t="s">
        <v>5</v>
      </c>
      <c r="C3" s="2">
        <v>10</v>
      </c>
      <c r="D3" s="2">
        <v>1.5</v>
      </c>
    </row>
    <row r="4" spans="1:11" x14ac:dyDescent="0.3">
      <c r="A4" s="2" t="s">
        <v>6</v>
      </c>
      <c r="B4" s="2" t="s">
        <v>7</v>
      </c>
      <c r="C4" s="2">
        <v>15</v>
      </c>
      <c r="D4" s="2">
        <v>1.1180000000000001</v>
      </c>
    </row>
    <row r="5" spans="1:11" x14ac:dyDescent="0.3">
      <c r="A5" s="2" t="s">
        <v>8</v>
      </c>
      <c r="B5" s="2" t="s">
        <v>9</v>
      </c>
      <c r="C5" s="2">
        <v>12</v>
      </c>
      <c r="D5" s="2">
        <v>1.1180000000000001</v>
      </c>
    </row>
    <row r="6" spans="1:11" x14ac:dyDescent="0.3">
      <c r="A6" s="2" t="s">
        <v>10</v>
      </c>
      <c r="B6" s="2" t="s">
        <v>11</v>
      </c>
      <c r="C6" s="2">
        <v>20</v>
      </c>
      <c r="D6" s="2">
        <v>2.5</v>
      </c>
    </row>
    <row r="7" spans="1:11" x14ac:dyDescent="0.3">
      <c r="A7" s="2" t="s">
        <v>12</v>
      </c>
      <c r="B7" s="2" t="s">
        <v>13</v>
      </c>
      <c r="C7" s="2">
        <v>18</v>
      </c>
      <c r="D7" s="2">
        <v>2.5</v>
      </c>
    </row>
    <row r="8" spans="1:11" x14ac:dyDescent="0.3">
      <c r="G8" t="s">
        <v>17</v>
      </c>
      <c r="H8" t="s">
        <v>15</v>
      </c>
      <c r="I8" t="s">
        <v>16</v>
      </c>
    </row>
    <row r="9" spans="1:11" x14ac:dyDescent="0.3">
      <c r="A9" t="str">
        <f>A2</f>
        <v>Vivienda</v>
      </c>
      <c r="B9" t="s">
        <v>15</v>
      </c>
      <c r="C9" t="s">
        <v>16</v>
      </c>
      <c r="D9" t="s">
        <v>2</v>
      </c>
      <c r="E9" t="s">
        <v>21</v>
      </c>
      <c r="H9">
        <v>2.5</v>
      </c>
      <c r="I9">
        <v>2</v>
      </c>
      <c r="J9" t="s">
        <v>20</v>
      </c>
      <c r="K9">
        <f>AVERAGE(D18:D20)</f>
        <v>12.333333333333334</v>
      </c>
    </row>
    <row r="10" spans="1:11" x14ac:dyDescent="0.3">
      <c r="A10" t="str">
        <f t="shared" ref="A10:A14" si="0">A3</f>
        <v>A</v>
      </c>
      <c r="B10">
        <v>1</v>
      </c>
      <c r="C10">
        <v>2</v>
      </c>
      <c r="D10">
        <v>10</v>
      </c>
      <c r="E10">
        <f>ABS($H$9-B10)+ABS($I$9-C10)</f>
        <v>1.5</v>
      </c>
    </row>
    <row r="11" spans="1:11" x14ac:dyDescent="0.3">
      <c r="A11" t="str">
        <f t="shared" si="0"/>
        <v>B</v>
      </c>
      <c r="B11">
        <v>2</v>
      </c>
      <c r="C11">
        <v>3</v>
      </c>
      <c r="D11">
        <v>15</v>
      </c>
      <c r="E11">
        <f t="shared" ref="E11:E14" si="1">ABS($H$9-B11)+ABS($I$9-C11)</f>
        <v>1.5</v>
      </c>
    </row>
    <row r="12" spans="1:11" x14ac:dyDescent="0.3">
      <c r="A12" t="str">
        <f t="shared" si="0"/>
        <v>C</v>
      </c>
      <c r="B12">
        <v>3</v>
      </c>
      <c r="C12">
        <v>1</v>
      </c>
      <c r="D12">
        <v>12</v>
      </c>
      <c r="E12">
        <f t="shared" si="1"/>
        <v>1.5</v>
      </c>
    </row>
    <row r="13" spans="1:11" x14ac:dyDescent="0.3">
      <c r="A13" t="str">
        <f t="shared" si="0"/>
        <v>D</v>
      </c>
      <c r="B13">
        <v>4</v>
      </c>
      <c r="C13">
        <v>4</v>
      </c>
      <c r="D13">
        <v>20</v>
      </c>
      <c r="E13">
        <f t="shared" si="1"/>
        <v>3.5</v>
      </c>
    </row>
    <row r="14" spans="1:11" x14ac:dyDescent="0.3">
      <c r="A14" t="str">
        <f t="shared" si="0"/>
        <v>E</v>
      </c>
      <c r="B14">
        <v>5</v>
      </c>
      <c r="C14">
        <v>2</v>
      </c>
      <c r="D14">
        <v>18</v>
      </c>
      <c r="E14">
        <f t="shared" si="1"/>
        <v>2.5</v>
      </c>
    </row>
    <row r="17" spans="1:7" x14ac:dyDescent="0.3">
      <c r="A17" t="s">
        <v>0</v>
      </c>
      <c r="B17" t="s">
        <v>15</v>
      </c>
      <c r="C17" t="s">
        <v>16</v>
      </c>
      <c r="D17" t="s">
        <v>2</v>
      </c>
      <c r="E17" t="s">
        <v>21</v>
      </c>
      <c r="F17" t="s">
        <v>19</v>
      </c>
      <c r="G17" t="s">
        <v>18</v>
      </c>
    </row>
    <row r="18" spans="1:7" x14ac:dyDescent="0.3">
      <c r="A18" t="s">
        <v>4</v>
      </c>
      <c r="B18">
        <v>1</v>
      </c>
      <c r="C18">
        <v>2</v>
      </c>
      <c r="D18">
        <v>10</v>
      </c>
      <c r="E18">
        <v>1.5</v>
      </c>
      <c r="F18">
        <v>1</v>
      </c>
    </row>
    <row r="19" spans="1:7" x14ac:dyDescent="0.3">
      <c r="A19" t="s">
        <v>6</v>
      </c>
      <c r="B19">
        <v>2</v>
      </c>
      <c r="C19">
        <v>3</v>
      </c>
      <c r="D19">
        <v>15</v>
      </c>
      <c r="E19">
        <v>1.5</v>
      </c>
      <c r="F19">
        <v>2</v>
      </c>
    </row>
    <row r="20" spans="1:7" x14ac:dyDescent="0.3">
      <c r="A20" t="s">
        <v>8</v>
      </c>
      <c r="B20">
        <v>3</v>
      </c>
      <c r="C20">
        <v>1</v>
      </c>
      <c r="D20">
        <v>12</v>
      </c>
      <c r="E20">
        <v>1.5</v>
      </c>
      <c r="F20">
        <v>3</v>
      </c>
    </row>
    <row r="21" spans="1:7" x14ac:dyDescent="0.3">
      <c r="A21" t="s">
        <v>12</v>
      </c>
      <c r="B21">
        <v>5</v>
      </c>
      <c r="C21">
        <v>2</v>
      </c>
      <c r="D21">
        <v>18</v>
      </c>
      <c r="E21">
        <v>2.5</v>
      </c>
      <c r="F21">
        <v>4</v>
      </c>
    </row>
    <row r="22" spans="1:7" x14ac:dyDescent="0.3">
      <c r="A22" t="s">
        <v>10</v>
      </c>
      <c r="B22">
        <v>4</v>
      </c>
      <c r="C22">
        <v>4</v>
      </c>
      <c r="D22">
        <v>20</v>
      </c>
      <c r="E22">
        <v>3.5</v>
      </c>
      <c r="F22">
        <v>5</v>
      </c>
    </row>
  </sheetData>
  <sortState xmlns:xlrd2="http://schemas.microsoft.com/office/spreadsheetml/2017/richdata2" ref="A18:E22">
    <sortCondition ref="E18:E2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16EF-2F56-40FE-B132-A3EF0853C96F}">
  <dimension ref="A2:K22"/>
  <sheetViews>
    <sheetView topLeftCell="C2" zoomScale="130" zoomScaleNormal="130" workbookViewId="0">
      <selection activeCell="K9" sqref="K9"/>
    </sheetView>
  </sheetViews>
  <sheetFormatPr baseColWidth="10" defaultRowHeight="14.4" x14ac:dyDescent="0.3"/>
  <sheetData>
    <row r="2" spans="1:11" ht="39.6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11" x14ac:dyDescent="0.3">
      <c r="A3" s="2" t="s">
        <v>4</v>
      </c>
      <c r="B3" s="2" t="s">
        <v>5</v>
      </c>
      <c r="C3" s="2">
        <v>10</v>
      </c>
      <c r="D3" s="2">
        <v>1.5</v>
      </c>
    </row>
    <row r="4" spans="1:11" x14ac:dyDescent="0.3">
      <c r="A4" s="2" t="s">
        <v>6</v>
      </c>
      <c r="B4" s="2" t="s">
        <v>7</v>
      </c>
      <c r="C4" s="2">
        <v>15</v>
      </c>
      <c r="D4" s="2">
        <v>1.1180000000000001</v>
      </c>
      <c r="I4" t="s">
        <v>22</v>
      </c>
      <c r="J4">
        <v>5</v>
      </c>
    </row>
    <row r="5" spans="1:11" x14ac:dyDescent="0.3">
      <c r="A5" s="2" t="s">
        <v>8</v>
      </c>
      <c r="B5" s="2" t="s">
        <v>9</v>
      </c>
      <c r="C5" s="2">
        <v>12</v>
      </c>
      <c r="D5" s="2">
        <v>1.1180000000000001</v>
      </c>
    </row>
    <row r="6" spans="1:11" x14ac:dyDescent="0.3">
      <c r="A6" s="2" t="s">
        <v>10</v>
      </c>
      <c r="B6" s="2" t="s">
        <v>11</v>
      </c>
      <c r="C6" s="2">
        <v>20</v>
      </c>
      <c r="D6" s="2">
        <v>2.5</v>
      </c>
    </row>
    <row r="7" spans="1:11" x14ac:dyDescent="0.3">
      <c r="A7" s="2" t="s">
        <v>12</v>
      </c>
      <c r="B7" s="2" t="s">
        <v>13</v>
      </c>
      <c r="C7" s="2">
        <v>18</v>
      </c>
      <c r="D7" s="2">
        <v>2.5</v>
      </c>
    </row>
    <row r="8" spans="1:11" x14ac:dyDescent="0.3">
      <c r="G8" t="s">
        <v>17</v>
      </c>
      <c r="H8" t="s">
        <v>15</v>
      </c>
      <c r="I8" t="s">
        <v>16</v>
      </c>
    </row>
    <row r="9" spans="1:11" x14ac:dyDescent="0.3">
      <c r="A9" t="str">
        <f>A2</f>
        <v>Vivienda</v>
      </c>
      <c r="B9" t="s">
        <v>15</v>
      </c>
      <c r="C9" t="s">
        <v>16</v>
      </c>
      <c r="D9" t="s">
        <v>2</v>
      </c>
      <c r="E9" t="s">
        <v>23</v>
      </c>
      <c r="H9">
        <v>2.5</v>
      </c>
      <c r="I9">
        <v>2</v>
      </c>
      <c r="J9" t="s">
        <v>20</v>
      </c>
      <c r="K9">
        <f>AVERAGE(D18:D20)</f>
        <v>12.333333333333334</v>
      </c>
    </row>
    <row r="10" spans="1:11" x14ac:dyDescent="0.3">
      <c r="A10" t="str">
        <f t="shared" ref="A10:A14" si="0">A3</f>
        <v>A</v>
      </c>
      <c r="B10">
        <v>1</v>
      </c>
      <c r="C10">
        <v>2</v>
      </c>
      <c r="D10">
        <v>10</v>
      </c>
      <c r="E10">
        <f>POWER(POWER(ABS($H$9-B10),$J$4)+POWER(ABS($I$9-C10),$J$4),1/$J$4)</f>
        <v>1.5</v>
      </c>
      <c r="F10" s="3"/>
      <c r="G10" s="3"/>
    </row>
    <row r="11" spans="1:11" x14ac:dyDescent="0.3">
      <c r="A11" t="str">
        <f t="shared" si="0"/>
        <v>B</v>
      </c>
      <c r="B11">
        <v>2</v>
      </c>
      <c r="C11">
        <v>3</v>
      </c>
      <c r="D11">
        <v>15</v>
      </c>
      <c r="E11">
        <f t="shared" ref="E11:E14" si="1">POWER(POWER(ABS($H$9-B11),$J$4)+POWER(ABS($I$9-C11),$J$4),1/$J$4)</f>
        <v>1.0061733085427791</v>
      </c>
      <c r="F11" s="3"/>
      <c r="G11" s="3"/>
    </row>
    <row r="12" spans="1:11" x14ac:dyDescent="0.3">
      <c r="A12" t="str">
        <f t="shared" si="0"/>
        <v>C</v>
      </c>
      <c r="B12">
        <v>3</v>
      </c>
      <c r="C12">
        <v>1</v>
      </c>
      <c r="D12">
        <v>12</v>
      </c>
      <c r="E12">
        <f t="shared" si="1"/>
        <v>1.0061733085427791</v>
      </c>
      <c r="F12" s="3"/>
      <c r="G12" s="3"/>
    </row>
    <row r="13" spans="1:11" x14ac:dyDescent="0.3">
      <c r="A13" t="str">
        <f t="shared" si="0"/>
        <v>D</v>
      </c>
      <c r="B13">
        <v>4</v>
      </c>
      <c r="C13">
        <v>4</v>
      </c>
      <c r="D13">
        <v>20</v>
      </c>
      <c r="E13">
        <f t="shared" si="1"/>
        <v>2.0870138314488731</v>
      </c>
      <c r="F13" s="3"/>
      <c r="G13" s="3"/>
    </row>
    <row r="14" spans="1:11" x14ac:dyDescent="0.3">
      <c r="A14" t="str">
        <f t="shared" si="0"/>
        <v>E</v>
      </c>
      <c r="B14">
        <v>5</v>
      </c>
      <c r="C14">
        <v>2</v>
      </c>
      <c r="D14">
        <v>18</v>
      </c>
      <c r="E14">
        <f t="shared" si="1"/>
        <v>2.5</v>
      </c>
      <c r="F14" s="3"/>
      <c r="G14" s="3"/>
    </row>
    <row r="17" spans="1:7" x14ac:dyDescent="0.3">
      <c r="A17" t="s">
        <v>0</v>
      </c>
      <c r="B17" t="s">
        <v>15</v>
      </c>
      <c r="C17" t="s">
        <v>16</v>
      </c>
      <c r="D17" t="s">
        <v>2</v>
      </c>
      <c r="E17" t="s">
        <v>23</v>
      </c>
      <c r="F17" t="s">
        <v>19</v>
      </c>
      <c r="G17" t="s">
        <v>18</v>
      </c>
    </row>
    <row r="18" spans="1:7" x14ac:dyDescent="0.3">
      <c r="A18" t="s">
        <v>6</v>
      </c>
      <c r="B18">
        <v>2</v>
      </c>
      <c r="C18">
        <v>3</v>
      </c>
      <c r="D18">
        <v>15</v>
      </c>
      <c r="E18">
        <v>1.0061733085427791</v>
      </c>
      <c r="F18">
        <v>1</v>
      </c>
    </row>
    <row r="19" spans="1:7" x14ac:dyDescent="0.3">
      <c r="A19" t="s">
        <v>8</v>
      </c>
      <c r="B19">
        <v>3</v>
      </c>
      <c r="C19">
        <v>1</v>
      </c>
      <c r="D19">
        <v>12</v>
      </c>
      <c r="E19">
        <v>1.0061733085427791</v>
      </c>
      <c r="F19">
        <v>2</v>
      </c>
    </row>
    <row r="20" spans="1:7" x14ac:dyDescent="0.3">
      <c r="A20" t="s">
        <v>4</v>
      </c>
      <c r="B20">
        <v>1</v>
      </c>
      <c r="C20">
        <v>2</v>
      </c>
      <c r="D20">
        <v>10</v>
      </c>
      <c r="E20">
        <v>1.5</v>
      </c>
      <c r="F20">
        <v>3</v>
      </c>
    </row>
    <row r="21" spans="1:7" x14ac:dyDescent="0.3">
      <c r="A21" t="s">
        <v>10</v>
      </c>
      <c r="B21">
        <v>4</v>
      </c>
      <c r="C21">
        <v>4</v>
      </c>
      <c r="D21">
        <v>20</v>
      </c>
      <c r="E21">
        <v>2.0870138314488731</v>
      </c>
      <c r="F21">
        <v>4</v>
      </c>
    </row>
    <row r="22" spans="1:7" x14ac:dyDescent="0.3">
      <c r="A22" t="s">
        <v>12</v>
      </c>
      <c r="B22">
        <v>5</v>
      </c>
      <c r="C22">
        <v>2</v>
      </c>
      <c r="D22">
        <v>18</v>
      </c>
      <c r="E22">
        <v>2.5</v>
      </c>
      <c r="F22">
        <v>5</v>
      </c>
    </row>
  </sheetData>
  <sortState xmlns:xlrd2="http://schemas.microsoft.com/office/spreadsheetml/2017/richdata2" ref="A18:E22">
    <sortCondition ref="E18:E2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Hoja1 (2)</vt:lpstr>
      <vt:lpstr>Hoja1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Revisor</cp:lastModifiedBy>
  <dcterms:created xsi:type="dcterms:W3CDTF">2026-03-19T20:11:51Z</dcterms:created>
  <dcterms:modified xsi:type="dcterms:W3CDTF">2026-03-19T22:01:28Z</dcterms:modified>
</cp:coreProperties>
</file>