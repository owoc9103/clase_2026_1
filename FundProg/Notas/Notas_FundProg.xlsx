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202300"/>
  <xr:revisionPtr revIDLastSave="0" documentId="13_ncr:1_{3E18DF12-E2AC-4DE8-B9DE-3DDCAD7936E4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report name" sheetId="1" r:id="rId1"/>
    <sheet name="Q1_V1" sheetId="2" r:id="rId2"/>
    <sheet name="Q1_V2" sheetId="3" r:id="rId3"/>
    <sheet name="Q1_V3" sheetId="4" r:id="rId4"/>
    <sheet name="Quiz 1_Consolidado" sheetId="5" r:id="rId5"/>
  </sheets>
  <definedNames>
    <definedName name="_xlnm._FilterDatabase" localSheetId="0" hidden="1">'report name'!$D$1:$E$31</definedName>
    <definedName name="JR_PAGE_ANCHOR_0_1" localSheetId="1">Q1_V1!#REF!</definedName>
    <definedName name="JR_PAGE_ANCHOR_0_1" localSheetId="2">Q1_V2!#REF!</definedName>
    <definedName name="JR_PAGE_ANCHOR_0_1" localSheetId="3">Q1_V3!#REF!</definedName>
    <definedName name="JR_PAGE_ANCHOR_0_1">'report name'!#REF!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5" l="1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B22" i="5"/>
  <c r="A2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B12" i="5"/>
  <c r="A12" i="5"/>
  <c r="B11" i="5"/>
  <c r="B10" i="5"/>
  <c r="B9" i="5"/>
  <c r="B8" i="5"/>
  <c r="B7" i="5"/>
  <c r="B6" i="5"/>
  <c r="B5" i="5"/>
  <c r="B4" i="5"/>
  <c r="B3" i="5"/>
  <c r="A11" i="5"/>
  <c r="A10" i="5"/>
  <c r="A9" i="5"/>
  <c r="A8" i="5"/>
  <c r="A7" i="5"/>
  <c r="A6" i="5"/>
  <c r="A5" i="5"/>
  <c r="A4" i="5"/>
  <c r="A3" i="5"/>
  <c r="K4" i="2"/>
  <c r="A2" i="5"/>
  <c r="K9" i="2"/>
  <c r="K9" i="4"/>
  <c r="K4" i="4"/>
  <c r="K10" i="4"/>
  <c r="K3" i="4"/>
  <c r="K6" i="4"/>
  <c r="K8" i="4"/>
  <c r="K11" i="4"/>
  <c r="K5" i="4"/>
  <c r="K7" i="4"/>
  <c r="K1" i="4"/>
  <c r="K12" i="3"/>
  <c r="K11" i="3"/>
  <c r="K10" i="3"/>
  <c r="K9" i="3"/>
  <c r="K8" i="3"/>
  <c r="K7" i="3"/>
  <c r="K6" i="3"/>
  <c r="K5" i="3"/>
  <c r="K4" i="3"/>
  <c r="K3" i="3"/>
  <c r="L1" i="3"/>
  <c r="K1" i="3"/>
  <c r="K2" i="2"/>
  <c r="B2" i="5" s="1"/>
  <c r="D3" i="1" s="1"/>
  <c r="K3" i="2"/>
  <c r="K5" i="2"/>
  <c r="K6" i="2"/>
  <c r="K7" i="2"/>
  <c r="K8" i="2"/>
  <c r="K10" i="2"/>
  <c r="K11" i="2"/>
  <c r="D12" i="1" l="1"/>
  <c r="D9" i="1"/>
  <c r="D5" i="1"/>
  <c r="D19" i="1"/>
  <c r="D4" i="1"/>
  <c r="D20" i="1"/>
  <c r="D18" i="1"/>
  <c r="D22" i="1"/>
  <c r="D26" i="1"/>
  <c r="D8" i="1"/>
  <c r="D28" i="1"/>
  <c r="D27" i="1"/>
  <c r="D10" i="1"/>
  <c r="D25" i="1"/>
  <c r="D11" i="1"/>
  <c r="D6" i="1"/>
  <c r="D7" i="1"/>
  <c r="D15" i="1"/>
  <c r="D13" i="1"/>
  <c r="D30" i="1"/>
  <c r="D24" i="1"/>
  <c r="D2" i="1"/>
  <c r="G2" i="1" s="1"/>
  <c r="D14" i="1"/>
  <c r="D31" i="1"/>
  <c r="D29" i="1"/>
  <c r="D21" i="1"/>
  <c r="D17" i="1"/>
  <c r="D23" i="1"/>
  <c r="D16" i="1"/>
</calcChain>
</file>

<file path=xl/sharedStrings.xml><?xml version="1.0" encoding="utf-8"?>
<sst xmlns="http://schemas.openxmlformats.org/spreadsheetml/2006/main" count="98" uniqueCount="44">
  <si>
    <t>Porcentaje</t>
  </si>
  <si>
    <t>Amaya Soto,Sergio Andres</t>
  </si>
  <si>
    <t>Arrechea Hernandez,Adrian Santiago Alejandro</t>
  </si>
  <si>
    <t>Bedoya Joseph,Nicolas</t>
  </si>
  <si>
    <t>Caicedo Gil,Juan Jose</t>
  </si>
  <si>
    <t>Cuellar Useche,Juan Jose</t>
  </si>
  <si>
    <t>Cuervo Varona,Juan Diego</t>
  </si>
  <si>
    <t>Diaz Benitez,Nicol Julieth</t>
  </si>
  <si>
    <t>Erazo Poveda,Juan Manuel</t>
  </si>
  <si>
    <t>Garcia Castañeda,Andres Felipe</t>
  </si>
  <si>
    <t>Gracia Martinez,Juan Jose</t>
  </si>
  <si>
    <t>Gutierrez Fonseca,Juan Jose</t>
  </si>
  <si>
    <t>Henao Rincon,Martin</t>
  </si>
  <si>
    <t>Herrera Duarte,Miguel Angel</t>
  </si>
  <si>
    <t>Mendez Lañas,Julian David</t>
  </si>
  <si>
    <t>Moreno Calderon,Nicolas</t>
  </si>
  <si>
    <t>Perez Vargas,Santiago</t>
  </si>
  <si>
    <t>Ramirez Rincon,Juan Jose</t>
  </si>
  <si>
    <t>Rengifo Castaño,Jorge Andres</t>
  </si>
  <si>
    <t>Reyes Erazo,Salome</t>
  </si>
  <si>
    <t>Reyes Marin,Sarah</t>
  </si>
  <si>
    <t>Roa Bueno,Alejandro</t>
  </si>
  <si>
    <t>Rojas Leon,Leonardo Jose</t>
  </si>
  <si>
    <t>Ruano Herrera,Isabella</t>
  </si>
  <si>
    <t>Silva Cabezas,Juan Sebastian</t>
  </si>
  <si>
    <t>Suarez Rincon,Samuel Esteban</t>
  </si>
  <si>
    <t>Tamayo Millan,Nicolas</t>
  </si>
  <si>
    <t>Vargas Bravo,Angie Catalina</t>
  </si>
  <si>
    <t>Velasco Davila,Gabriela</t>
  </si>
  <si>
    <t>Villa Gamez,Jose Miguel</t>
  </si>
  <si>
    <t>Villota Quintero,Alejandro</t>
  </si>
  <si>
    <t>Nombte</t>
  </si>
  <si>
    <t>P1</t>
  </si>
  <si>
    <t>P2</t>
  </si>
  <si>
    <t>P3</t>
  </si>
  <si>
    <t>P4</t>
  </si>
  <si>
    <t>P5</t>
  </si>
  <si>
    <t>P6</t>
  </si>
  <si>
    <t>P7</t>
  </si>
  <si>
    <t>P8</t>
  </si>
  <si>
    <t>NF</t>
  </si>
  <si>
    <t>Nota Quiz 1</t>
  </si>
  <si>
    <t>Nota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</si>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</sst>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\ %"/>
    <numFmt numFmtId="165" formatCode="0.00000"/>
    <numFmt numFmtId="166" formatCode="0.0"/>
  </numFmts>
  <fonts count="5" x14ac:knownFonts="1">
    <font>
      <sz val="11"/>
      <color theme="1"/>
      <name val="Aptos Narrow"/>
      <family val="2"/>
      <scheme val="minor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0" xfId="0" applyNumberFormat="1"/>
    <xf numFmtId="2" fontId="3" fillId="4" borderId="1" xfId="0" applyNumberFormat="1" applyFont="1" applyFill="1" applyBorder="1" applyAlignment="1">
      <alignment horizontal="center" vertical="center" wrapText="1"/>
    </xf>
    <xf numFmtId="166" fontId="3" fillId="4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0" fontId="2" fillId="5" borderId="3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6" fontId="3" fillId="5" borderId="1" xfId="0" applyNumberFormat="1" applyFont="1" applyFill="1" applyBorder="1" applyAlignment="1">
      <alignment horizontal="center" vertical="center" wrapText="1"/>
    </xf>
    <xf numFmtId="0" fontId="0" fillId="5" borderId="0" xfId="0" applyFill="1"/>
    <xf numFmtId="2" fontId="3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7</xdr:row>
      <xdr:rowOff>12700</xdr:rowOff>
    </xdr:from>
    <xdr:to>
      <xdr:col>25</xdr:col>
      <xdr:colOff>361315</xdr:colOff>
      <xdr:row>8</xdr:row>
      <xdr:rowOff>635</xdr:rowOff>
    </xdr:to>
    <xdr:pic>
      <xdr:nvPicPr>
        <xdr:cNvPr id="1969723325" name="Picture">
          <a:extLst>
            <a:ext uri="{FF2B5EF4-FFF2-40B4-BE49-F238E27FC236}">
              <a16:creationId xmlns:a16="http://schemas.microsoft.com/office/drawing/2014/main" id="{00000000-0008-0000-0000-0000BD9767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359410</xdr:colOff>
      <xdr:row>8</xdr:row>
      <xdr:rowOff>635</xdr:rowOff>
    </xdr:to>
    <xdr:pic>
      <xdr:nvPicPr>
        <xdr:cNvPr id="408916644" name="Picture">
          <a:extLst>
            <a:ext uri="{FF2B5EF4-FFF2-40B4-BE49-F238E27FC236}">
              <a16:creationId xmlns:a16="http://schemas.microsoft.com/office/drawing/2014/main" id="{00000000-0008-0000-0000-0000A4925F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361315</xdr:colOff>
      <xdr:row>9</xdr:row>
      <xdr:rowOff>0</xdr:rowOff>
    </xdr:to>
    <xdr:pic>
      <xdr:nvPicPr>
        <xdr:cNvPr id="1477553707" name="Picture">
          <a:extLst>
            <a:ext uri="{FF2B5EF4-FFF2-40B4-BE49-F238E27FC236}">
              <a16:creationId xmlns:a16="http://schemas.microsoft.com/office/drawing/2014/main" id="{00000000-0008-0000-0000-00002BAE11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359410</xdr:colOff>
      <xdr:row>9</xdr:row>
      <xdr:rowOff>0</xdr:rowOff>
    </xdr:to>
    <xdr:pic>
      <xdr:nvPicPr>
        <xdr:cNvPr id="1809430786" name="Picture">
          <a:extLst>
            <a:ext uri="{FF2B5EF4-FFF2-40B4-BE49-F238E27FC236}">
              <a16:creationId xmlns:a16="http://schemas.microsoft.com/office/drawing/2014/main" id="{00000000-0008-0000-0000-000002B9D9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361315</xdr:colOff>
      <xdr:row>9</xdr:row>
      <xdr:rowOff>0</xdr:rowOff>
    </xdr:to>
    <xdr:pic>
      <xdr:nvPicPr>
        <xdr:cNvPr id="208141342" name="Picture">
          <a:extLst>
            <a:ext uri="{FF2B5EF4-FFF2-40B4-BE49-F238E27FC236}">
              <a16:creationId xmlns:a16="http://schemas.microsoft.com/office/drawing/2014/main" id="{00000000-0008-0000-0000-00001EFC67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361315</xdr:colOff>
      <xdr:row>9</xdr:row>
      <xdr:rowOff>0</xdr:rowOff>
    </xdr:to>
    <xdr:pic>
      <xdr:nvPicPr>
        <xdr:cNvPr id="2088144699" name="Picture">
          <a:extLst>
            <a:ext uri="{FF2B5EF4-FFF2-40B4-BE49-F238E27FC236}">
              <a16:creationId xmlns:a16="http://schemas.microsoft.com/office/drawing/2014/main" id="{00000000-0008-0000-0000-00003B8F76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361315</xdr:colOff>
      <xdr:row>9</xdr:row>
      <xdr:rowOff>0</xdr:rowOff>
    </xdr:to>
    <xdr:pic>
      <xdr:nvPicPr>
        <xdr:cNvPr id="700647016" name="Picture">
          <a:extLst>
            <a:ext uri="{FF2B5EF4-FFF2-40B4-BE49-F238E27FC236}">
              <a16:creationId xmlns:a16="http://schemas.microsoft.com/office/drawing/2014/main" id="{00000000-0008-0000-0000-00006806C3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361315</xdr:colOff>
      <xdr:row>10</xdr:row>
      <xdr:rowOff>635</xdr:rowOff>
    </xdr:to>
    <xdr:pic>
      <xdr:nvPicPr>
        <xdr:cNvPr id="1019224327" name="Picture">
          <a:extLst>
            <a:ext uri="{FF2B5EF4-FFF2-40B4-BE49-F238E27FC236}">
              <a16:creationId xmlns:a16="http://schemas.microsoft.com/office/drawing/2014/main" id="{00000000-0008-0000-0000-00000721C0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359410</xdr:colOff>
      <xdr:row>10</xdr:row>
      <xdr:rowOff>635</xdr:rowOff>
    </xdr:to>
    <xdr:pic>
      <xdr:nvPicPr>
        <xdr:cNvPr id="1955032819" name="Picture">
          <a:extLst>
            <a:ext uri="{FF2B5EF4-FFF2-40B4-BE49-F238E27FC236}">
              <a16:creationId xmlns:a16="http://schemas.microsoft.com/office/drawing/2014/main" id="{00000000-0008-0000-0000-0000F36E877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361315</xdr:colOff>
      <xdr:row>11</xdr:row>
      <xdr:rowOff>635</xdr:rowOff>
    </xdr:to>
    <xdr:pic>
      <xdr:nvPicPr>
        <xdr:cNvPr id="1846157210" name="Picture">
          <a:extLst>
            <a:ext uri="{FF2B5EF4-FFF2-40B4-BE49-F238E27FC236}">
              <a16:creationId xmlns:a16="http://schemas.microsoft.com/office/drawing/2014/main" id="{00000000-0008-0000-0000-00009A1F0A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359410</xdr:colOff>
      <xdr:row>11</xdr:row>
      <xdr:rowOff>635</xdr:rowOff>
    </xdr:to>
    <xdr:pic>
      <xdr:nvPicPr>
        <xdr:cNvPr id="967416024" name="Picture">
          <a:extLst>
            <a:ext uri="{FF2B5EF4-FFF2-40B4-BE49-F238E27FC236}">
              <a16:creationId xmlns:a16="http://schemas.microsoft.com/office/drawing/2014/main" id="{00000000-0008-0000-0000-0000D898A9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361315</xdr:colOff>
      <xdr:row>11</xdr:row>
      <xdr:rowOff>635</xdr:rowOff>
    </xdr:to>
    <xdr:pic>
      <xdr:nvPicPr>
        <xdr:cNvPr id="2097933172" name="Picture">
          <a:extLst>
            <a:ext uri="{FF2B5EF4-FFF2-40B4-BE49-F238E27FC236}">
              <a16:creationId xmlns:a16="http://schemas.microsoft.com/office/drawing/2014/main" id="{00000000-0008-0000-0000-000074EB0B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361315</xdr:colOff>
      <xdr:row>11</xdr:row>
      <xdr:rowOff>635</xdr:rowOff>
    </xdr:to>
    <xdr:pic>
      <xdr:nvPicPr>
        <xdr:cNvPr id="247679371" name="Picture">
          <a:extLst>
            <a:ext uri="{FF2B5EF4-FFF2-40B4-BE49-F238E27FC236}">
              <a16:creationId xmlns:a16="http://schemas.microsoft.com/office/drawing/2014/main" id="{00000000-0008-0000-0000-00008B49C30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361315</xdr:colOff>
      <xdr:row>11</xdr:row>
      <xdr:rowOff>635</xdr:rowOff>
    </xdr:to>
    <xdr:pic>
      <xdr:nvPicPr>
        <xdr:cNvPr id="806052102" name="Picture">
          <a:extLst>
            <a:ext uri="{FF2B5EF4-FFF2-40B4-BE49-F238E27FC236}">
              <a16:creationId xmlns:a16="http://schemas.microsoft.com/office/drawing/2014/main" id="{00000000-0008-0000-0000-000006610B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361315</xdr:colOff>
      <xdr:row>12</xdr:row>
      <xdr:rowOff>635</xdr:rowOff>
    </xdr:to>
    <xdr:pic>
      <xdr:nvPicPr>
        <xdr:cNvPr id="1742951178" name="Picture">
          <a:extLst>
            <a:ext uri="{FF2B5EF4-FFF2-40B4-BE49-F238E27FC236}">
              <a16:creationId xmlns:a16="http://schemas.microsoft.com/office/drawing/2014/main" id="{00000000-0008-0000-0000-00000A53E3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359410</xdr:colOff>
      <xdr:row>12</xdr:row>
      <xdr:rowOff>635</xdr:rowOff>
    </xdr:to>
    <xdr:pic>
      <xdr:nvPicPr>
        <xdr:cNvPr id="1945682284" name="Picture">
          <a:extLst>
            <a:ext uri="{FF2B5EF4-FFF2-40B4-BE49-F238E27FC236}">
              <a16:creationId xmlns:a16="http://schemas.microsoft.com/office/drawing/2014/main" id="{00000000-0008-0000-0000-00006CC1F8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361315</xdr:colOff>
      <xdr:row>12</xdr:row>
      <xdr:rowOff>635</xdr:rowOff>
    </xdr:to>
    <xdr:pic>
      <xdr:nvPicPr>
        <xdr:cNvPr id="403737924" name="Picture">
          <a:extLst>
            <a:ext uri="{FF2B5EF4-FFF2-40B4-BE49-F238E27FC236}">
              <a16:creationId xmlns:a16="http://schemas.microsoft.com/office/drawing/2014/main" id="{00000000-0008-0000-0000-0000448D10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361315</xdr:colOff>
      <xdr:row>12</xdr:row>
      <xdr:rowOff>635</xdr:rowOff>
    </xdr:to>
    <xdr:pic>
      <xdr:nvPicPr>
        <xdr:cNvPr id="1464492985" name="Picture">
          <a:extLst>
            <a:ext uri="{FF2B5EF4-FFF2-40B4-BE49-F238E27FC236}">
              <a16:creationId xmlns:a16="http://schemas.microsoft.com/office/drawing/2014/main" id="{00000000-0008-0000-0000-0000B9634A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361315</xdr:colOff>
      <xdr:row>12</xdr:row>
      <xdr:rowOff>635</xdr:rowOff>
    </xdr:to>
    <xdr:pic>
      <xdr:nvPicPr>
        <xdr:cNvPr id="709624153" name="Picture">
          <a:extLst>
            <a:ext uri="{FF2B5EF4-FFF2-40B4-BE49-F238E27FC236}">
              <a16:creationId xmlns:a16="http://schemas.microsoft.com/office/drawing/2014/main" id="{00000000-0008-0000-0000-000059014C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361315</xdr:colOff>
      <xdr:row>12</xdr:row>
      <xdr:rowOff>635</xdr:rowOff>
    </xdr:to>
    <xdr:pic>
      <xdr:nvPicPr>
        <xdr:cNvPr id="529155805" name="Picture">
          <a:extLst>
            <a:ext uri="{FF2B5EF4-FFF2-40B4-BE49-F238E27FC236}">
              <a16:creationId xmlns:a16="http://schemas.microsoft.com/office/drawing/2014/main" id="{00000000-0008-0000-0000-0000DD468A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361315</xdr:colOff>
      <xdr:row>13</xdr:row>
      <xdr:rowOff>635</xdr:rowOff>
    </xdr:to>
    <xdr:pic>
      <xdr:nvPicPr>
        <xdr:cNvPr id="57443013" name="Picture">
          <a:extLst>
            <a:ext uri="{FF2B5EF4-FFF2-40B4-BE49-F238E27FC236}">
              <a16:creationId xmlns:a16="http://schemas.microsoft.com/office/drawing/2014/main" id="{00000000-0008-0000-0000-0000C5826C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359410</xdr:colOff>
      <xdr:row>13</xdr:row>
      <xdr:rowOff>635</xdr:rowOff>
    </xdr:to>
    <xdr:pic>
      <xdr:nvPicPr>
        <xdr:cNvPr id="129990330" name="Picture">
          <a:extLst>
            <a:ext uri="{FF2B5EF4-FFF2-40B4-BE49-F238E27FC236}">
              <a16:creationId xmlns:a16="http://schemas.microsoft.com/office/drawing/2014/main" id="{00000000-0008-0000-0000-0000BA7EBF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361315</xdr:colOff>
      <xdr:row>13</xdr:row>
      <xdr:rowOff>635</xdr:rowOff>
    </xdr:to>
    <xdr:pic>
      <xdr:nvPicPr>
        <xdr:cNvPr id="1295245789" name="Picture">
          <a:extLst>
            <a:ext uri="{FF2B5EF4-FFF2-40B4-BE49-F238E27FC236}">
              <a16:creationId xmlns:a16="http://schemas.microsoft.com/office/drawing/2014/main" id="{00000000-0008-0000-0000-0000DDE133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361315</xdr:colOff>
      <xdr:row>13</xdr:row>
      <xdr:rowOff>635</xdr:rowOff>
    </xdr:to>
    <xdr:pic>
      <xdr:nvPicPr>
        <xdr:cNvPr id="4389384" name="Picture">
          <a:extLst>
            <a:ext uri="{FF2B5EF4-FFF2-40B4-BE49-F238E27FC236}">
              <a16:creationId xmlns:a16="http://schemas.microsoft.com/office/drawing/2014/main" id="{00000000-0008-0000-0000-000008FA42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361315</xdr:colOff>
      <xdr:row>13</xdr:row>
      <xdr:rowOff>635</xdr:rowOff>
    </xdr:to>
    <xdr:pic>
      <xdr:nvPicPr>
        <xdr:cNvPr id="1734294127" name="Picture">
          <a:extLst>
            <a:ext uri="{FF2B5EF4-FFF2-40B4-BE49-F238E27FC236}">
              <a16:creationId xmlns:a16="http://schemas.microsoft.com/office/drawing/2014/main" id="{00000000-0008-0000-0000-00006F3A5F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361315</xdr:colOff>
      <xdr:row>13</xdr:row>
      <xdr:rowOff>635</xdr:rowOff>
    </xdr:to>
    <xdr:pic>
      <xdr:nvPicPr>
        <xdr:cNvPr id="459915920" name="Picture">
          <a:extLst>
            <a:ext uri="{FF2B5EF4-FFF2-40B4-BE49-F238E27FC236}">
              <a16:creationId xmlns:a16="http://schemas.microsoft.com/office/drawing/2014/main" id="{00000000-0008-0000-0000-000090C269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1233577257" name="Picture">
          <a:extLst>
            <a:ext uri="{FF2B5EF4-FFF2-40B4-BE49-F238E27FC236}">
              <a16:creationId xmlns:a16="http://schemas.microsoft.com/office/drawing/2014/main" id="{00000000-0008-0000-0000-000029E586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359410</xdr:colOff>
      <xdr:row>14</xdr:row>
      <xdr:rowOff>635</xdr:rowOff>
    </xdr:to>
    <xdr:pic>
      <xdr:nvPicPr>
        <xdr:cNvPr id="1585693867" name="Picture">
          <a:extLst>
            <a:ext uri="{FF2B5EF4-FFF2-40B4-BE49-F238E27FC236}">
              <a16:creationId xmlns:a16="http://schemas.microsoft.com/office/drawing/2014/main" id="{00000000-0008-0000-0000-0000ABC483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1074860374" name="Picture">
          <a:extLst>
            <a:ext uri="{FF2B5EF4-FFF2-40B4-BE49-F238E27FC236}">
              <a16:creationId xmlns:a16="http://schemas.microsoft.com/office/drawing/2014/main" id="{00000000-0008-0000-0000-0000561111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364459654" name="Picture">
          <a:extLst>
            <a:ext uri="{FF2B5EF4-FFF2-40B4-BE49-F238E27FC236}">
              <a16:creationId xmlns:a16="http://schemas.microsoft.com/office/drawing/2014/main" id="{00000000-0008-0000-0000-00008636B9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1801991861" name="Picture">
          <a:extLst>
            <a:ext uri="{FF2B5EF4-FFF2-40B4-BE49-F238E27FC236}">
              <a16:creationId xmlns:a16="http://schemas.microsoft.com/office/drawing/2014/main" id="{00000000-0008-0000-0000-0000B53668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722338287" name="Picture">
          <a:extLst>
            <a:ext uri="{FF2B5EF4-FFF2-40B4-BE49-F238E27FC236}">
              <a16:creationId xmlns:a16="http://schemas.microsoft.com/office/drawing/2014/main" id="{00000000-0008-0000-0000-0000EF010E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361315</xdr:colOff>
      <xdr:row>15</xdr:row>
      <xdr:rowOff>635</xdr:rowOff>
    </xdr:to>
    <xdr:pic>
      <xdr:nvPicPr>
        <xdr:cNvPr id="1675439737" name="Picture">
          <a:extLst>
            <a:ext uri="{FF2B5EF4-FFF2-40B4-BE49-F238E27FC236}">
              <a16:creationId xmlns:a16="http://schemas.microsoft.com/office/drawing/2014/main" id="{00000000-0008-0000-0000-0000792EDD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359410</xdr:colOff>
      <xdr:row>15</xdr:row>
      <xdr:rowOff>635</xdr:rowOff>
    </xdr:to>
    <xdr:pic>
      <xdr:nvPicPr>
        <xdr:cNvPr id="1057765762" name="Picture">
          <a:extLst>
            <a:ext uri="{FF2B5EF4-FFF2-40B4-BE49-F238E27FC236}">
              <a16:creationId xmlns:a16="http://schemas.microsoft.com/office/drawing/2014/main" id="{00000000-0008-0000-0000-000082390C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361315</xdr:colOff>
      <xdr:row>15</xdr:row>
      <xdr:rowOff>635</xdr:rowOff>
    </xdr:to>
    <xdr:pic>
      <xdr:nvPicPr>
        <xdr:cNvPr id="368803144" name="Picture">
          <a:extLst>
            <a:ext uri="{FF2B5EF4-FFF2-40B4-BE49-F238E27FC236}">
              <a16:creationId xmlns:a16="http://schemas.microsoft.com/office/drawing/2014/main" id="{00000000-0008-0000-0000-0000487DFB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361315</xdr:colOff>
      <xdr:row>15</xdr:row>
      <xdr:rowOff>635</xdr:rowOff>
    </xdr:to>
    <xdr:pic>
      <xdr:nvPicPr>
        <xdr:cNvPr id="1310787425" name="Picture">
          <a:extLst>
            <a:ext uri="{FF2B5EF4-FFF2-40B4-BE49-F238E27FC236}">
              <a16:creationId xmlns:a16="http://schemas.microsoft.com/office/drawing/2014/main" id="{00000000-0008-0000-0000-00006107214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361315</xdr:colOff>
      <xdr:row>15</xdr:row>
      <xdr:rowOff>635</xdr:rowOff>
    </xdr:to>
    <xdr:pic>
      <xdr:nvPicPr>
        <xdr:cNvPr id="1149589050" name="Picture">
          <a:extLst>
            <a:ext uri="{FF2B5EF4-FFF2-40B4-BE49-F238E27FC236}">
              <a16:creationId xmlns:a16="http://schemas.microsoft.com/office/drawing/2014/main" id="{00000000-0008-0000-0000-00003A5685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14</xdr:row>
      <xdr:rowOff>12700</xdr:rowOff>
    </xdr:from>
    <xdr:to>
      <xdr:col>25</xdr:col>
      <xdr:colOff>361315</xdr:colOff>
      <xdr:row>15</xdr:row>
      <xdr:rowOff>635</xdr:rowOff>
    </xdr:to>
    <xdr:pic>
      <xdr:nvPicPr>
        <xdr:cNvPr id="438019841" name="Picture">
          <a:extLst>
            <a:ext uri="{FF2B5EF4-FFF2-40B4-BE49-F238E27FC236}">
              <a16:creationId xmlns:a16="http://schemas.microsoft.com/office/drawing/2014/main" id="{00000000-0008-0000-0000-000001A71B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361315</xdr:colOff>
      <xdr:row>16</xdr:row>
      <xdr:rowOff>0</xdr:rowOff>
    </xdr:to>
    <xdr:pic>
      <xdr:nvPicPr>
        <xdr:cNvPr id="1422170167" name="Picture">
          <a:extLst>
            <a:ext uri="{FF2B5EF4-FFF2-40B4-BE49-F238E27FC236}">
              <a16:creationId xmlns:a16="http://schemas.microsoft.com/office/drawing/2014/main" id="{00000000-0008-0000-0000-00003798C45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359410</xdr:colOff>
      <xdr:row>16</xdr:row>
      <xdr:rowOff>0</xdr:rowOff>
    </xdr:to>
    <xdr:pic>
      <xdr:nvPicPr>
        <xdr:cNvPr id="303597505" name="Picture">
          <a:extLst>
            <a:ext uri="{FF2B5EF4-FFF2-40B4-BE49-F238E27FC236}">
              <a16:creationId xmlns:a16="http://schemas.microsoft.com/office/drawing/2014/main" id="{00000000-0008-0000-0000-0000C187181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361315</xdr:colOff>
      <xdr:row>16</xdr:row>
      <xdr:rowOff>0</xdr:rowOff>
    </xdr:to>
    <xdr:pic>
      <xdr:nvPicPr>
        <xdr:cNvPr id="2093098814" name="Picture">
          <a:extLst>
            <a:ext uri="{FF2B5EF4-FFF2-40B4-BE49-F238E27FC236}">
              <a16:creationId xmlns:a16="http://schemas.microsoft.com/office/drawing/2014/main" id="{00000000-0008-0000-0000-00003E27C2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361315</xdr:colOff>
      <xdr:row>16</xdr:row>
      <xdr:rowOff>0</xdr:rowOff>
    </xdr:to>
    <xdr:pic>
      <xdr:nvPicPr>
        <xdr:cNvPr id="1000776712" name="Picture">
          <a:extLst>
            <a:ext uri="{FF2B5EF4-FFF2-40B4-BE49-F238E27FC236}">
              <a16:creationId xmlns:a16="http://schemas.microsoft.com/office/drawing/2014/main" id="{00000000-0008-0000-0000-000008A4A6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361315</xdr:colOff>
      <xdr:row>16</xdr:row>
      <xdr:rowOff>0</xdr:rowOff>
    </xdr:to>
    <xdr:pic>
      <xdr:nvPicPr>
        <xdr:cNvPr id="1272153707" name="Picture">
          <a:extLst>
            <a:ext uri="{FF2B5EF4-FFF2-40B4-BE49-F238E27FC236}">
              <a16:creationId xmlns:a16="http://schemas.microsoft.com/office/drawing/2014/main" id="{00000000-0008-0000-0000-00006B86D3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15</xdr:row>
      <xdr:rowOff>12700</xdr:rowOff>
    </xdr:from>
    <xdr:to>
      <xdr:col>25</xdr:col>
      <xdr:colOff>361315</xdr:colOff>
      <xdr:row>16</xdr:row>
      <xdr:rowOff>0</xdr:rowOff>
    </xdr:to>
    <xdr:pic>
      <xdr:nvPicPr>
        <xdr:cNvPr id="497231455" name="Picture">
          <a:extLst>
            <a:ext uri="{FF2B5EF4-FFF2-40B4-BE49-F238E27FC236}">
              <a16:creationId xmlns:a16="http://schemas.microsoft.com/office/drawing/2014/main" id="{00000000-0008-0000-0000-00005F26A3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361315</xdr:colOff>
      <xdr:row>17</xdr:row>
      <xdr:rowOff>635</xdr:rowOff>
    </xdr:to>
    <xdr:pic>
      <xdr:nvPicPr>
        <xdr:cNvPr id="1882523906" name="Picture">
          <a:extLst>
            <a:ext uri="{FF2B5EF4-FFF2-40B4-BE49-F238E27FC236}">
              <a16:creationId xmlns:a16="http://schemas.microsoft.com/office/drawing/2014/main" id="{00000000-0008-0000-0000-0000020935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359410</xdr:colOff>
      <xdr:row>17</xdr:row>
      <xdr:rowOff>635</xdr:rowOff>
    </xdr:to>
    <xdr:pic>
      <xdr:nvPicPr>
        <xdr:cNvPr id="2126341608" name="Picture">
          <a:extLst>
            <a:ext uri="{FF2B5EF4-FFF2-40B4-BE49-F238E27FC236}">
              <a16:creationId xmlns:a16="http://schemas.microsoft.com/office/drawing/2014/main" id="{00000000-0008-0000-0000-0000E865BD7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361315</xdr:colOff>
      <xdr:row>17</xdr:row>
      <xdr:rowOff>635</xdr:rowOff>
    </xdr:to>
    <xdr:pic>
      <xdr:nvPicPr>
        <xdr:cNvPr id="696931466" name="Picture">
          <a:extLst>
            <a:ext uri="{FF2B5EF4-FFF2-40B4-BE49-F238E27FC236}">
              <a16:creationId xmlns:a16="http://schemas.microsoft.com/office/drawing/2014/main" id="{00000000-0008-0000-0000-00008A548A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361315</xdr:colOff>
      <xdr:row>17</xdr:row>
      <xdr:rowOff>635</xdr:rowOff>
    </xdr:to>
    <xdr:pic>
      <xdr:nvPicPr>
        <xdr:cNvPr id="757009978" name="Picture">
          <a:extLst>
            <a:ext uri="{FF2B5EF4-FFF2-40B4-BE49-F238E27FC236}">
              <a16:creationId xmlns:a16="http://schemas.microsoft.com/office/drawing/2014/main" id="{00000000-0008-0000-0000-00003A0E1F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361315</xdr:colOff>
      <xdr:row>17</xdr:row>
      <xdr:rowOff>635</xdr:rowOff>
    </xdr:to>
    <xdr:pic>
      <xdr:nvPicPr>
        <xdr:cNvPr id="1975156610" name="Picture">
          <a:extLst>
            <a:ext uri="{FF2B5EF4-FFF2-40B4-BE49-F238E27FC236}">
              <a16:creationId xmlns:a16="http://schemas.microsoft.com/office/drawing/2014/main" id="{00000000-0008-0000-0000-0000827FBA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16</xdr:row>
      <xdr:rowOff>12700</xdr:rowOff>
    </xdr:from>
    <xdr:to>
      <xdr:col>25</xdr:col>
      <xdr:colOff>361315</xdr:colOff>
      <xdr:row>17</xdr:row>
      <xdr:rowOff>635</xdr:rowOff>
    </xdr:to>
    <xdr:pic>
      <xdr:nvPicPr>
        <xdr:cNvPr id="1623049976" name="Picture">
          <a:extLst>
            <a:ext uri="{FF2B5EF4-FFF2-40B4-BE49-F238E27FC236}">
              <a16:creationId xmlns:a16="http://schemas.microsoft.com/office/drawing/2014/main" id="{00000000-0008-0000-0000-0000F8C6BD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361315</xdr:colOff>
      <xdr:row>18</xdr:row>
      <xdr:rowOff>635</xdr:rowOff>
    </xdr:to>
    <xdr:pic>
      <xdr:nvPicPr>
        <xdr:cNvPr id="459862113" name="Picture">
          <a:extLst>
            <a:ext uri="{FF2B5EF4-FFF2-40B4-BE49-F238E27FC236}">
              <a16:creationId xmlns:a16="http://schemas.microsoft.com/office/drawing/2014/main" id="{00000000-0008-0000-0000-000061F068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359410</xdr:colOff>
      <xdr:row>18</xdr:row>
      <xdr:rowOff>635</xdr:rowOff>
    </xdr:to>
    <xdr:pic>
      <xdr:nvPicPr>
        <xdr:cNvPr id="1314079720" name="Picture">
          <a:extLst>
            <a:ext uri="{FF2B5EF4-FFF2-40B4-BE49-F238E27FC236}">
              <a16:creationId xmlns:a16="http://schemas.microsoft.com/office/drawing/2014/main" id="{00000000-0008-0000-0000-0000E84353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361315</xdr:colOff>
      <xdr:row>18</xdr:row>
      <xdr:rowOff>635</xdr:rowOff>
    </xdr:to>
    <xdr:pic>
      <xdr:nvPicPr>
        <xdr:cNvPr id="1756586959" name="Picture">
          <a:extLst>
            <a:ext uri="{FF2B5EF4-FFF2-40B4-BE49-F238E27FC236}">
              <a16:creationId xmlns:a16="http://schemas.microsoft.com/office/drawing/2014/main" id="{00000000-0008-0000-0000-0000CF63B3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361315</xdr:colOff>
      <xdr:row>18</xdr:row>
      <xdr:rowOff>635</xdr:rowOff>
    </xdr:to>
    <xdr:pic>
      <xdr:nvPicPr>
        <xdr:cNvPr id="1714942503" name="Picture">
          <a:extLst>
            <a:ext uri="{FF2B5EF4-FFF2-40B4-BE49-F238E27FC236}">
              <a16:creationId xmlns:a16="http://schemas.microsoft.com/office/drawing/2014/main" id="{00000000-0008-0000-0000-000027F2376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361315</xdr:colOff>
      <xdr:row>18</xdr:row>
      <xdr:rowOff>635</xdr:rowOff>
    </xdr:to>
    <xdr:pic>
      <xdr:nvPicPr>
        <xdr:cNvPr id="981532024" name="Picture">
          <a:extLst>
            <a:ext uri="{FF2B5EF4-FFF2-40B4-BE49-F238E27FC236}">
              <a16:creationId xmlns:a16="http://schemas.microsoft.com/office/drawing/2014/main" id="{00000000-0008-0000-0000-000078FD803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12700</xdr:rowOff>
    </xdr:from>
    <xdr:to>
      <xdr:col>25</xdr:col>
      <xdr:colOff>361315</xdr:colOff>
      <xdr:row>18</xdr:row>
      <xdr:rowOff>635</xdr:rowOff>
    </xdr:to>
    <xdr:pic>
      <xdr:nvPicPr>
        <xdr:cNvPr id="1847109059" name="Picture">
          <a:extLst>
            <a:ext uri="{FF2B5EF4-FFF2-40B4-BE49-F238E27FC236}">
              <a16:creationId xmlns:a16="http://schemas.microsoft.com/office/drawing/2014/main" id="{00000000-0008-0000-0000-0000C3A5186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361315</xdr:colOff>
      <xdr:row>19</xdr:row>
      <xdr:rowOff>0</xdr:rowOff>
    </xdr:to>
    <xdr:pic>
      <xdr:nvPicPr>
        <xdr:cNvPr id="499523284" name="Picture">
          <a:extLst>
            <a:ext uri="{FF2B5EF4-FFF2-40B4-BE49-F238E27FC236}">
              <a16:creationId xmlns:a16="http://schemas.microsoft.com/office/drawing/2014/main" id="{00000000-0008-0000-0000-0000D41EC6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359410</xdr:colOff>
      <xdr:row>19</xdr:row>
      <xdr:rowOff>0</xdr:rowOff>
    </xdr:to>
    <xdr:pic>
      <xdr:nvPicPr>
        <xdr:cNvPr id="1144615297" name="Picture">
          <a:extLst>
            <a:ext uri="{FF2B5EF4-FFF2-40B4-BE49-F238E27FC236}">
              <a16:creationId xmlns:a16="http://schemas.microsoft.com/office/drawing/2014/main" id="{00000000-0008-0000-0000-0000817139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361315</xdr:colOff>
      <xdr:row>19</xdr:row>
      <xdr:rowOff>0</xdr:rowOff>
    </xdr:to>
    <xdr:pic>
      <xdr:nvPicPr>
        <xdr:cNvPr id="2045718339" name="Picture">
          <a:extLst>
            <a:ext uri="{FF2B5EF4-FFF2-40B4-BE49-F238E27FC236}">
              <a16:creationId xmlns:a16="http://schemas.microsoft.com/office/drawing/2014/main" id="{00000000-0008-0000-0000-0000432FEF7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361315</xdr:colOff>
      <xdr:row>19</xdr:row>
      <xdr:rowOff>0</xdr:rowOff>
    </xdr:to>
    <xdr:pic>
      <xdr:nvPicPr>
        <xdr:cNvPr id="1383250688" name="Picture">
          <a:extLst>
            <a:ext uri="{FF2B5EF4-FFF2-40B4-BE49-F238E27FC236}">
              <a16:creationId xmlns:a16="http://schemas.microsoft.com/office/drawing/2014/main" id="{00000000-0008-0000-0000-000000BB72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361315</xdr:colOff>
      <xdr:row>19</xdr:row>
      <xdr:rowOff>0</xdr:rowOff>
    </xdr:to>
    <xdr:pic>
      <xdr:nvPicPr>
        <xdr:cNvPr id="2137997092" name="Picture">
          <a:extLst>
            <a:ext uri="{FF2B5EF4-FFF2-40B4-BE49-F238E27FC236}">
              <a16:creationId xmlns:a16="http://schemas.microsoft.com/office/drawing/2014/main" id="{00000000-0008-0000-0000-0000243F6F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12700</xdr:rowOff>
    </xdr:from>
    <xdr:to>
      <xdr:col>25</xdr:col>
      <xdr:colOff>361315</xdr:colOff>
      <xdr:row>19</xdr:row>
      <xdr:rowOff>0</xdr:rowOff>
    </xdr:to>
    <xdr:pic>
      <xdr:nvPicPr>
        <xdr:cNvPr id="1884683313" name="Picture">
          <a:extLst>
            <a:ext uri="{FF2B5EF4-FFF2-40B4-BE49-F238E27FC236}">
              <a16:creationId xmlns:a16="http://schemas.microsoft.com/office/drawing/2014/main" id="{00000000-0008-0000-0000-000031FC55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12700</xdr:rowOff>
    </xdr:from>
    <xdr:to>
      <xdr:col>25</xdr:col>
      <xdr:colOff>361315</xdr:colOff>
      <xdr:row>20</xdr:row>
      <xdr:rowOff>635</xdr:rowOff>
    </xdr:to>
    <xdr:pic>
      <xdr:nvPicPr>
        <xdr:cNvPr id="1883258959" name="Picture">
          <a:extLst>
            <a:ext uri="{FF2B5EF4-FFF2-40B4-BE49-F238E27FC236}">
              <a16:creationId xmlns:a16="http://schemas.microsoft.com/office/drawing/2014/main" id="{00000000-0008-0000-0000-00004F4040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12700</xdr:rowOff>
    </xdr:from>
    <xdr:to>
      <xdr:col>25</xdr:col>
      <xdr:colOff>359410</xdr:colOff>
      <xdr:row>20</xdr:row>
      <xdr:rowOff>635</xdr:rowOff>
    </xdr:to>
    <xdr:pic>
      <xdr:nvPicPr>
        <xdr:cNvPr id="925720572" name="Picture">
          <a:extLst>
            <a:ext uri="{FF2B5EF4-FFF2-40B4-BE49-F238E27FC236}">
              <a16:creationId xmlns:a16="http://schemas.microsoft.com/office/drawing/2014/main" id="{00000000-0008-0000-0000-0000FC5F2D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12700</xdr:rowOff>
    </xdr:from>
    <xdr:to>
      <xdr:col>25</xdr:col>
      <xdr:colOff>361315</xdr:colOff>
      <xdr:row>22</xdr:row>
      <xdr:rowOff>635</xdr:rowOff>
    </xdr:to>
    <xdr:pic>
      <xdr:nvPicPr>
        <xdr:cNvPr id="871255014" name="Picture">
          <a:extLst>
            <a:ext uri="{FF2B5EF4-FFF2-40B4-BE49-F238E27FC236}">
              <a16:creationId xmlns:a16="http://schemas.microsoft.com/office/drawing/2014/main" id="{00000000-0008-0000-0000-0000E64BEE3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12700</xdr:rowOff>
    </xdr:from>
    <xdr:to>
      <xdr:col>25</xdr:col>
      <xdr:colOff>359410</xdr:colOff>
      <xdr:row>22</xdr:row>
      <xdr:rowOff>635</xdr:rowOff>
    </xdr:to>
    <xdr:pic>
      <xdr:nvPicPr>
        <xdr:cNvPr id="715001080" name="Picture">
          <a:extLst>
            <a:ext uri="{FF2B5EF4-FFF2-40B4-BE49-F238E27FC236}">
              <a16:creationId xmlns:a16="http://schemas.microsoft.com/office/drawing/2014/main" id="{00000000-0008-0000-0000-0000F80C9E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12700</xdr:rowOff>
    </xdr:from>
    <xdr:to>
      <xdr:col>25</xdr:col>
      <xdr:colOff>361315</xdr:colOff>
      <xdr:row>22</xdr:row>
      <xdr:rowOff>635</xdr:rowOff>
    </xdr:to>
    <xdr:pic>
      <xdr:nvPicPr>
        <xdr:cNvPr id="1017923497" name="Picture">
          <a:extLst>
            <a:ext uri="{FF2B5EF4-FFF2-40B4-BE49-F238E27FC236}">
              <a16:creationId xmlns:a16="http://schemas.microsoft.com/office/drawing/2014/main" id="{00000000-0008-0000-0000-0000A947AC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12700</xdr:rowOff>
    </xdr:from>
    <xdr:to>
      <xdr:col>25</xdr:col>
      <xdr:colOff>361315</xdr:colOff>
      <xdr:row>22</xdr:row>
      <xdr:rowOff>635</xdr:rowOff>
    </xdr:to>
    <xdr:pic>
      <xdr:nvPicPr>
        <xdr:cNvPr id="1468180392" name="Picture">
          <a:extLst>
            <a:ext uri="{FF2B5EF4-FFF2-40B4-BE49-F238E27FC236}">
              <a16:creationId xmlns:a16="http://schemas.microsoft.com/office/drawing/2014/main" id="{00000000-0008-0000-0000-0000A8A7825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12700</xdr:rowOff>
    </xdr:from>
    <xdr:to>
      <xdr:col>25</xdr:col>
      <xdr:colOff>361315</xdr:colOff>
      <xdr:row>22</xdr:row>
      <xdr:rowOff>635</xdr:rowOff>
    </xdr:to>
    <xdr:pic>
      <xdr:nvPicPr>
        <xdr:cNvPr id="376596421" name="Picture">
          <a:extLst>
            <a:ext uri="{FF2B5EF4-FFF2-40B4-BE49-F238E27FC236}">
              <a16:creationId xmlns:a16="http://schemas.microsoft.com/office/drawing/2014/main" id="{00000000-0008-0000-0000-0000C567721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12700</xdr:rowOff>
    </xdr:from>
    <xdr:to>
      <xdr:col>25</xdr:col>
      <xdr:colOff>361315</xdr:colOff>
      <xdr:row>23</xdr:row>
      <xdr:rowOff>635</xdr:rowOff>
    </xdr:to>
    <xdr:pic>
      <xdr:nvPicPr>
        <xdr:cNvPr id="312395523" name="Picture">
          <a:extLst>
            <a:ext uri="{FF2B5EF4-FFF2-40B4-BE49-F238E27FC236}">
              <a16:creationId xmlns:a16="http://schemas.microsoft.com/office/drawing/2014/main" id="{00000000-0008-0000-0000-000003C79E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12700</xdr:rowOff>
    </xdr:from>
    <xdr:to>
      <xdr:col>25</xdr:col>
      <xdr:colOff>359410</xdr:colOff>
      <xdr:row>23</xdr:row>
      <xdr:rowOff>635</xdr:rowOff>
    </xdr:to>
    <xdr:pic>
      <xdr:nvPicPr>
        <xdr:cNvPr id="1348701471" name="Picture">
          <a:extLst>
            <a:ext uri="{FF2B5EF4-FFF2-40B4-BE49-F238E27FC236}">
              <a16:creationId xmlns:a16="http://schemas.microsoft.com/office/drawing/2014/main" id="{00000000-0008-0000-0000-00001F8D63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12700</xdr:rowOff>
    </xdr:from>
    <xdr:to>
      <xdr:col>25</xdr:col>
      <xdr:colOff>361315</xdr:colOff>
      <xdr:row>23</xdr:row>
      <xdr:rowOff>635</xdr:rowOff>
    </xdr:to>
    <xdr:pic>
      <xdr:nvPicPr>
        <xdr:cNvPr id="1437242521" name="Picture">
          <a:extLst>
            <a:ext uri="{FF2B5EF4-FFF2-40B4-BE49-F238E27FC236}">
              <a16:creationId xmlns:a16="http://schemas.microsoft.com/office/drawing/2014/main" id="{00000000-0008-0000-0000-00009994AA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12700</xdr:rowOff>
    </xdr:from>
    <xdr:to>
      <xdr:col>25</xdr:col>
      <xdr:colOff>361315</xdr:colOff>
      <xdr:row>23</xdr:row>
      <xdr:rowOff>635</xdr:rowOff>
    </xdr:to>
    <xdr:pic>
      <xdr:nvPicPr>
        <xdr:cNvPr id="322725563" name="Picture">
          <a:extLst>
            <a:ext uri="{FF2B5EF4-FFF2-40B4-BE49-F238E27FC236}">
              <a16:creationId xmlns:a16="http://schemas.microsoft.com/office/drawing/2014/main" id="{00000000-0008-0000-0000-0000BB663C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12700</xdr:rowOff>
    </xdr:from>
    <xdr:to>
      <xdr:col>25</xdr:col>
      <xdr:colOff>361315</xdr:colOff>
      <xdr:row>23</xdr:row>
      <xdr:rowOff>635</xdr:rowOff>
    </xdr:to>
    <xdr:pic>
      <xdr:nvPicPr>
        <xdr:cNvPr id="2013138176" name="Picture">
          <a:extLst>
            <a:ext uri="{FF2B5EF4-FFF2-40B4-BE49-F238E27FC236}">
              <a16:creationId xmlns:a16="http://schemas.microsoft.com/office/drawing/2014/main" id="{00000000-0008-0000-0000-0000000DFE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361315</xdr:colOff>
      <xdr:row>24</xdr:row>
      <xdr:rowOff>635</xdr:rowOff>
    </xdr:to>
    <xdr:pic>
      <xdr:nvPicPr>
        <xdr:cNvPr id="976631863" name="Picture">
          <a:extLst>
            <a:ext uri="{FF2B5EF4-FFF2-40B4-BE49-F238E27FC236}">
              <a16:creationId xmlns:a16="http://schemas.microsoft.com/office/drawing/2014/main" id="{00000000-0008-0000-0000-0000373836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359410</xdr:colOff>
      <xdr:row>24</xdr:row>
      <xdr:rowOff>635</xdr:rowOff>
    </xdr:to>
    <xdr:pic>
      <xdr:nvPicPr>
        <xdr:cNvPr id="1246726260" name="Picture">
          <a:extLst>
            <a:ext uri="{FF2B5EF4-FFF2-40B4-BE49-F238E27FC236}">
              <a16:creationId xmlns:a16="http://schemas.microsoft.com/office/drawing/2014/main" id="{00000000-0008-0000-0000-000074884F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361315</xdr:colOff>
      <xdr:row>24</xdr:row>
      <xdr:rowOff>635</xdr:rowOff>
    </xdr:to>
    <xdr:pic>
      <xdr:nvPicPr>
        <xdr:cNvPr id="1306401328" name="Picture">
          <a:extLst>
            <a:ext uri="{FF2B5EF4-FFF2-40B4-BE49-F238E27FC236}">
              <a16:creationId xmlns:a16="http://schemas.microsoft.com/office/drawing/2014/main" id="{00000000-0008-0000-0000-0000301ADE4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361315</xdr:colOff>
      <xdr:row>24</xdr:row>
      <xdr:rowOff>635</xdr:rowOff>
    </xdr:to>
    <xdr:pic>
      <xdr:nvPicPr>
        <xdr:cNvPr id="1031504859" name="Picture">
          <a:extLst>
            <a:ext uri="{FF2B5EF4-FFF2-40B4-BE49-F238E27FC236}">
              <a16:creationId xmlns:a16="http://schemas.microsoft.com/office/drawing/2014/main" id="{00000000-0008-0000-0000-0000DB837B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361315</xdr:colOff>
      <xdr:row>24</xdr:row>
      <xdr:rowOff>635</xdr:rowOff>
    </xdr:to>
    <xdr:pic>
      <xdr:nvPicPr>
        <xdr:cNvPr id="906486723" name="Picture">
          <a:extLst>
            <a:ext uri="{FF2B5EF4-FFF2-40B4-BE49-F238E27FC236}">
              <a16:creationId xmlns:a16="http://schemas.microsoft.com/office/drawing/2014/main" id="{00000000-0008-0000-0000-0000C3E307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12700</xdr:rowOff>
    </xdr:from>
    <xdr:to>
      <xdr:col>25</xdr:col>
      <xdr:colOff>361315</xdr:colOff>
      <xdr:row>24</xdr:row>
      <xdr:rowOff>635</xdr:rowOff>
    </xdr:to>
    <xdr:pic>
      <xdr:nvPicPr>
        <xdr:cNvPr id="4047199" name="Picture">
          <a:extLst>
            <a:ext uri="{FF2B5EF4-FFF2-40B4-BE49-F238E27FC236}">
              <a16:creationId xmlns:a16="http://schemas.microsoft.com/office/drawing/2014/main" id="{00000000-0008-0000-0000-00005FC13D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12700</xdr:rowOff>
    </xdr:from>
    <xdr:to>
      <xdr:col>25</xdr:col>
      <xdr:colOff>361315</xdr:colOff>
      <xdr:row>25</xdr:row>
      <xdr:rowOff>635</xdr:rowOff>
    </xdr:to>
    <xdr:pic>
      <xdr:nvPicPr>
        <xdr:cNvPr id="1032803570" name="Picture">
          <a:extLst>
            <a:ext uri="{FF2B5EF4-FFF2-40B4-BE49-F238E27FC236}">
              <a16:creationId xmlns:a16="http://schemas.microsoft.com/office/drawing/2014/main" id="{00000000-0008-0000-0000-0000F2548F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12700</xdr:rowOff>
    </xdr:from>
    <xdr:to>
      <xdr:col>25</xdr:col>
      <xdr:colOff>359410</xdr:colOff>
      <xdr:row>25</xdr:row>
      <xdr:rowOff>635</xdr:rowOff>
    </xdr:to>
    <xdr:pic>
      <xdr:nvPicPr>
        <xdr:cNvPr id="1552645571" name="Picture">
          <a:extLst>
            <a:ext uri="{FF2B5EF4-FFF2-40B4-BE49-F238E27FC236}">
              <a16:creationId xmlns:a16="http://schemas.microsoft.com/office/drawing/2014/main" id="{00000000-0008-0000-0000-0000C37D8B5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12700</xdr:rowOff>
    </xdr:from>
    <xdr:to>
      <xdr:col>25</xdr:col>
      <xdr:colOff>361315</xdr:colOff>
      <xdr:row>25</xdr:row>
      <xdr:rowOff>635</xdr:rowOff>
    </xdr:to>
    <xdr:pic>
      <xdr:nvPicPr>
        <xdr:cNvPr id="1436255338" name="Picture">
          <a:extLst>
            <a:ext uri="{FF2B5EF4-FFF2-40B4-BE49-F238E27FC236}">
              <a16:creationId xmlns:a16="http://schemas.microsoft.com/office/drawing/2014/main" id="{00000000-0008-0000-0000-00006A849B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12700</xdr:rowOff>
    </xdr:from>
    <xdr:to>
      <xdr:col>25</xdr:col>
      <xdr:colOff>361315</xdr:colOff>
      <xdr:row>25</xdr:row>
      <xdr:rowOff>635</xdr:rowOff>
    </xdr:to>
    <xdr:pic>
      <xdr:nvPicPr>
        <xdr:cNvPr id="994218175" name="Picture">
          <a:extLst>
            <a:ext uri="{FF2B5EF4-FFF2-40B4-BE49-F238E27FC236}">
              <a16:creationId xmlns:a16="http://schemas.microsoft.com/office/drawing/2014/main" id="{00000000-0008-0000-0000-0000BF9042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24</xdr:row>
      <xdr:rowOff>12700</xdr:rowOff>
    </xdr:from>
    <xdr:to>
      <xdr:col>25</xdr:col>
      <xdr:colOff>361315</xdr:colOff>
      <xdr:row>25</xdr:row>
      <xdr:rowOff>635</xdr:rowOff>
    </xdr:to>
    <xdr:pic>
      <xdr:nvPicPr>
        <xdr:cNvPr id="2091744225" name="Picture">
          <a:extLst>
            <a:ext uri="{FF2B5EF4-FFF2-40B4-BE49-F238E27FC236}">
              <a16:creationId xmlns:a16="http://schemas.microsoft.com/office/drawing/2014/main" id="{00000000-0008-0000-0000-0000E17BAD7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361315</xdr:colOff>
      <xdr:row>26</xdr:row>
      <xdr:rowOff>635</xdr:rowOff>
    </xdr:to>
    <xdr:pic>
      <xdr:nvPicPr>
        <xdr:cNvPr id="1929250565" name="Picture">
          <a:extLst>
            <a:ext uri="{FF2B5EF4-FFF2-40B4-BE49-F238E27FC236}">
              <a16:creationId xmlns:a16="http://schemas.microsoft.com/office/drawing/2014/main" id="{00000000-0008-0000-0000-00000507FE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359410</xdr:colOff>
      <xdr:row>26</xdr:row>
      <xdr:rowOff>635</xdr:rowOff>
    </xdr:to>
    <xdr:pic>
      <xdr:nvPicPr>
        <xdr:cNvPr id="1561765517" name="Picture">
          <a:extLst>
            <a:ext uri="{FF2B5EF4-FFF2-40B4-BE49-F238E27FC236}">
              <a16:creationId xmlns:a16="http://schemas.microsoft.com/office/drawing/2014/main" id="{00000000-0008-0000-0000-00008DA6165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361315</xdr:colOff>
      <xdr:row>26</xdr:row>
      <xdr:rowOff>635</xdr:rowOff>
    </xdr:to>
    <xdr:pic>
      <xdr:nvPicPr>
        <xdr:cNvPr id="1257483453" name="Picture">
          <a:extLst>
            <a:ext uri="{FF2B5EF4-FFF2-40B4-BE49-F238E27FC236}">
              <a16:creationId xmlns:a16="http://schemas.microsoft.com/office/drawing/2014/main" id="{00000000-0008-0000-0000-0000BDACF3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361315</xdr:colOff>
      <xdr:row>26</xdr:row>
      <xdr:rowOff>635</xdr:rowOff>
    </xdr:to>
    <xdr:pic>
      <xdr:nvPicPr>
        <xdr:cNvPr id="1251616965" name="Picture">
          <a:extLst>
            <a:ext uri="{FF2B5EF4-FFF2-40B4-BE49-F238E27FC236}">
              <a16:creationId xmlns:a16="http://schemas.microsoft.com/office/drawing/2014/main" id="{00000000-0008-0000-0000-0000C5289A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361315</xdr:colOff>
      <xdr:row>26</xdr:row>
      <xdr:rowOff>635</xdr:rowOff>
    </xdr:to>
    <xdr:pic>
      <xdr:nvPicPr>
        <xdr:cNvPr id="1222564028" name="Picture">
          <a:extLst>
            <a:ext uri="{FF2B5EF4-FFF2-40B4-BE49-F238E27FC236}">
              <a16:creationId xmlns:a16="http://schemas.microsoft.com/office/drawing/2014/main" id="{00000000-0008-0000-0000-0000BCD8DE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25</xdr:row>
      <xdr:rowOff>12700</xdr:rowOff>
    </xdr:from>
    <xdr:to>
      <xdr:col>25</xdr:col>
      <xdr:colOff>361315</xdr:colOff>
      <xdr:row>26</xdr:row>
      <xdr:rowOff>635</xdr:rowOff>
    </xdr:to>
    <xdr:pic>
      <xdr:nvPicPr>
        <xdr:cNvPr id="538197476" name="Picture">
          <a:extLst>
            <a:ext uri="{FF2B5EF4-FFF2-40B4-BE49-F238E27FC236}">
              <a16:creationId xmlns:a16="http://schemas.microsoft.com/office/drawing/2014/main" id="{00000000-0008-0000-0000-0000E43D14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361315</xdr:colOff>
      <xdr:row>27</xdr:row>
      <xdr:rowOff>0</xdr:rowOff>
    </xdr:to>
    <xdr:pic>
      <xdr:nvPicPr>
        <xdr:cNvPr id="2010512159" name="Picture">
          <a:extLst>
            <a:ext uri="{FF2B5EF4-FFF2-40B4-BE49-F238E27FC236}">
              <a16:creationId xmlns:a16="http://schemas.microsoft.com/office/drawing/2014/main" id="{00000000-0008-0000-0000-00001FFBD5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359410</xdr:colOff>
      <xdr:row>27</xdr:row>
      <xdr:rowOff>0</xdr:rowOff>
    </xdr:to>
    <xdr:pic>
      <xdr:nvPicPr>
        <xdr:cNvPr id="1813133600" name="Picture">
          <a:extLst>
            <a:ext uri="{FF2B5EF4-FFF2-40B4-BE49-F238E27FC236}">
              <a16:creationId xmlns:a16="http://schemas.microsoft.com/office/drawing/2014/main" id="{00000000-0008-0000-0000-0000203912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361315</xdr:colOff>
      <xdr:row>27</xdr:row>
      <xdr:rowOff>0</xdr:rowOff>
    </xdr:to>
    <xdr:pic>
      <xdr:nvPicPr>
        <xdr:cNvPr id="1387726630" name="Picture">
          <a:extLst>
            <a:ext uri="{FF2B5EF4-FFF2-40B4-BE49-F238E27FC236}">
              <a16:creationId xmlns:a16="http://schemas.microsoft.com/office/drawing/2014/main" id="{00000000-0008-0000-0000-00002607B7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361315</xdr:colOff>
      <xdr:row>27</xdr:row>
      <xdr:rowOff>0</xdr:rowOff>
    </xdr:to>
    <xdr:pic>
      <xdr:nvPicPr>
        <xdr:cNvPr id="1397615497" name="Picture">
          <a:extLst>
            <a:ext uri="{FF2B5EF4-FFF2-40B4-BE49-F238E27FC236}">
              <a16:creationId xmlns:a16="http://schemas.microsoft.com/office/drawing/2014/main" id="{00000000-0008-0000-0000-000089EB4D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361315</xdr:colOff>
      <xdr:row>27</xdr:row>
      <xdr:rowOff>0</xdr:rowOff>
    </xdr:to>
    <xdr:pic>
      <xdr:nvPicPr>
        <xdr:cNvPr id="186183676" name="Picture">
          <a:extLst>
            <a:ext uri="{FF2B5EF4-FFF2-40B4-BE49-F238E27FC236}">
              <a16:creationId xmlns:a16="http://schemas.microsoft.com/office/drawing/2014/main" id="{00000000-0008-0000-0000-0000FCEF180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12700</xdr:rowOff>
    </xdr:from>
    <xdr:to>
      <xdr:col>25</xdr:col>
      <xdr:colOff>361315</xdr:colOff>
      <xdr:row>27</xdr:row>
      <xdr:rowOff>0</xdr:rowOff>
    </xdr:to>
    <xdr:pic>
      <xdr:nvPicPr>
        <xdr:cNvPr id="1992166534" name="Picture">
          <a:extLst>
            <a:ext uri="{FF2B5EF4-FFF2-40B4-BE49-F238E27FC236}">
              <a16:creationId xmlns:a16="http://schemas.microsoft.com/office/drawing/2014/main" id="{00000000-0008-0000-0000-0000860CBE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361315</xdr:colOff>
      <xdr:row>28</xdr:row>
      <xdr:rowOff>635</xdr:rowOff>
    </xdr:to>
    <xdr:pic>
      <xdr:nvPicPr>
        <xdr:cNvPr id="484096832" name="Picture">
          <a:extLst>
            <a:ext uri="{FF2B5EF4-FFF2-40B4-BE49-F238E27FC236}">
              <a16:creationId xmlns:a16="http://schemas.microsoft.com/office/drawing/2014/main" id="{00000000-0008-0000-0000-000040BBDA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359410</xdr:colOff>
      <xdr:row>28</xdr:row>
      <xdr:rowOff>635</xdr:rowOff>
    </xdr:to>
    <xdr:pic>
      <xdr:nvPicPr>
        <xdr:cNvPr id="553065201" name="Picture">
          <a:extLst>
            <a:ext uri="{FF2B5EF4-FFF2-40B4-BE49-F238E27FC236}">
              <a16:creationId xmlns:a16="http://schemas.microsoft.com/office/drawing/2014/main" id="{00000000-0008-0000-0000-0000F11AF7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361315</xdr:colOff>
      <xdr:row>28</xdr:row>
      <xdr:rowOff>635</xdr:rowOff>
    </xdr:to>
    <xdr:pic>
      <xdr:nvPicPr>
        <xdr:cNvPr id="1817994780" name="Picture">
          <a:extLst>
            <a:ext uri="{FF2B5EF4-FFF2-40B4-BE49-F238E27FC236}">
              <a16:creationId xmlns:a16="http://schemas.microsoft.com/office/drawing/2014/main" id="{00000000-0008-0000-0000-00001C665C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361315</xdr:colOff>
      <xdr:row>28</xdr:row>
      <xdr:rowOff>635</xdr:rowOff>
    </xdr:to>
    <xdr:pic>
      <xdr:nvPicPr>
        <xdr:cNvPr id="1778421037" name="Picture">
          <a:extLst>
            <a:ext uri="{FF2B5EF4-FFF2-40B4-BE49-F238E27FC236}">
              <a16:creationId xmlns:a16="http://schemas.microsoft.com/office/drawing/2014/main" id="{00000000-0008-0000-0000-00002D8D00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361315</xdr:colOff>
      <xdr:row>28</xdr:row>
      <xdr:rowOff>635</xdr:rowOff>
    </xdr:to>
    <xdr:pic>
      <xdr:nvPicPr>
        <xdr:cNvPr id="591997846" name="Picture">
          <a:extLst>
            <a:ext uri="{FF2B5EF4-FFF2-40B4-BE49-F238E27FC236}">
              <a16:creationId xmlns:a16="http://schemas.microsoft.com/office/drawing/2014/main" id="{00000000-0008-0000-0000-0000962B49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12700</xdr:rowOff>
    </xdr:from>
    <xdr:to>
      <xdr:col>25</xdr:col>
      <xdr:colOff>361315</xdr:colOff>
      <xdr:row>28</xdr:row>
      <xdr:rowOff>635</xdr:rowOff>
    </xdr:to>
    <xdr:pic>
      <xdr:nvPicPr>
        <xdr:cNvPr id="997297564" name="Picture">
          <a:extLst>
            <a:ext uri="{FF2B5EF4-FFF2-40B4-BE49-F238E27FC236}">
              <a16:creationId xmlns:a16="http://schemas.microsoft.com/office/drawing/2014/main" id="{00000000-0008-0000-0000-00009C8D71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361315</xdr:colOff>
      <xdr:row>29</xdr:row>
      <xdr:rowOff>635</xdr:rowOff>
    </xdr:to>
    <xdr:pic>
      <xdr:nvPicPr>
        <xdr:cNvPr id="882012264" name="Picture">
          <a:extLst>
            <a:ext uri="{FF2B5EF4-FFF2-40B4-BE49-F238E27FC236}">
              <a16:creationId xmlns:a16="http://schemas.microsoft.com/office/drawing/2014/main" id="{00000000-0008-0000-0000-0000687092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359410</xdr:colOff>
      <xdr:row>29</xdr:row>
      <xdr:rowOff>635</xdr:rowOff>
    </xdr:to>
    <xdr:pic>
      <xdr:nvPicPr>
        <xdr:cNvPr id="1511389746" name="Picture">
          <a:extLst>
            <a:ext uri="{FF2B5EF4-FFF2-40B4-BE49-F238E27FC236}">
              <a16:creationId xmlns:a16="http://schemas.microsoft.com/office/drawing/2014/main" id="{00000000-0008-0000-0000-000032FA15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361315</xdr:colOff>
      <xdr:row>29</xdr:row>
      <xdr:rowOff>635</xdr:rowOff>
    </xdr:to>
    <xdr:pic>
      <xdr:nvPicPr>
        <xdr:cNvPr id="820670333" name="Picture">
          <a:extLst>
            <a:ext uri="{FF2B5EF4-FFF2-40B4-BE49-F238E27FC236}">
              <a16:creationId xmlns:a16="http://schemas.microsoft.com/office/drawing/2014/main" id="{00000000-0008-0000-0000-00007D6FEA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361315</xdr:colOff>
      <xdr:row>29</xdr:row>
      <xdr:rowOff>635</xdr:rowOff>
    </xdr:to>
    <xdr:pic>
      <xdr:nvPicPr>
        <xdr:cNvPr id="130029969" name="Picture">
          <a:extLst>
            <a:ext uri="{FF2B5EF4-FFF2-40B4-BE49-F238E27FC236}">
              <a16:creationId xmlns:a16="http://schemas.microsoft.com/office/drawing/2014/main" id="{00000000-0008-0000-0000-00009119C0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361315</xdr:colOff>
      <xdr:row>29</xdr:row>
      <xdr:rowOff>635</xdr:rowOff>
    </xdr:to>
    <xdr:pic>
      <xdr:nvPicPr>
        <xdr:cNvPr id="544618545" name="Picture">
          <a:extLst>
            <a:ext uri="{FF2B5EF4-FFF2-40B4-BE49-F238E27FC236}">
              <a16:creationId xmlns:a16="http://schemas.microsoft.com/office/drawing/2014/main" id="{00000000-0008-0000-0000-0000313876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28</xdr:row>
      <xdr:rowOff>12700</xdr:rowOff>
    </xdr:from>
    <xdr:to>
      <xdr:col>25</xdr:col>
      <xdr:colOff>361315</xdr:colOff>
      <xdr:row>29</xdr:row>
      <xdr:rowOff>635</xdr:rowOff>
    </xdr:to>
    <xdr:pic>
      <xdr:nvPicPr>
        <xdr:cNvPr id="1439138407" name="Picture">
          <a:extLst>
            <a:ext uri="{FF2B5EF4-FFF2-40B4-BE49-F238E27FC236}">
              <a16:creationId xmlns:a16="http://schemas.microsoft.com/office/drawing/2014/main" id="{00000000-0008-0000-0000-00006782C7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361315</xdr:colOff>
      <xdr:row>30</xdr:row>
      <xdr:rowOff>0</xdr:rowOff>
    </xdr:to>
    <xdr:pic>
      <xdr:nvPicPr>
        <xdr:cNvPr id="909479461" name="Picture">
          <a:extLst>
            <a:ext uri="{FF2B5EF4-FFF2-40B4-BE49-F238E27FC236}">
              <a16:creationId xmlns:a16="http://schemas.microsoft.com/office/drawing/2014/main" id="{00000000-0008-0000-0000-0000258E35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359410</xdr:colOff>
      <xdr:row>30</xdr:row>
      <xdr:rowOff>0</xdr:rowOff>
    </xdr:to>
    <xdr:pic>
      <xdr:nvPicPr>
        <xdr:cNvPr id="826148323" name="Picture">
          <a:extLst>
            <a:ext uri="{FF2B5EF4-FFF2-40B4-BE49-F238E27FC236}">
              <a16:creationId xmlns:a16="http://schemas.microsoft.com/office/drawing/2014/main" id="{00000000-0008-0000-0000-0000E3053E3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361315</xdr:colOff>
      <xdr:row>30</xdr:row>
      <xdr:rowOff>0</xdr:rowOff>
    </xdr:to>
    <xdr:pic>
      <xdr:nvPicPr>
        <xdr:cNvPr id="546837573" name="Picture">
          <a:extLst>
            <a:ext uri="{FF2B5EF4-FFF2-40B4-BE49-F238E27FC236}">
              <a16:creationId xmlns:a16="http://schemas.microsoft.com/office/drawing/2014/main" id="{00000000-0008-0000-0000-0000451498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361315</xdr:colOff>
      <xdr:row>30</xdr:row>
      <xdr:rowOff>0</xdr:rowOff>
    </xdr:to>
    <xdr:pic>
      <xdr:nvPicPr>
        <xdr:cNvPr id="1235578507" name="Picture">
          <a:extLst>
            <a:ext uri="{FF2B5EF4-FFF2-40B4-BE49-F238E27FC236}">
              <a16:creationId xmlns:a16="http://schemas.microsoft.com/office/drawing/2014/main" id="{00000000-0008-0000-0000-00008B6EA5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361315</xdr:colOff>
      <xdr:row>30</xdr:row>
      <xdr:rowOff>0</xdr:rowOff>
    </xdr:to>
    <xdr:pic>
      <xdr:nvPicPr>
        <xdr:cNvPr id="1408992572" name="Picture">
          <a:extLst>
            <a:ext uri="{FF2B5EF4-FFF2-40B4-BE49-F238E27FC236}">
              <a16:creationId xmlns:a16="http://schemas.microsoft.com/office/drawing/2014/main" id="{00000000-0008-0000-0000-00003C85FB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12700</xdr:rowOff>
    </xdr:from>
    <xdr:to>
      <xdr:col>25</xdr:col>
      <xdr:colOff>361315</xdr:colOff>
      <xdr:row>30</xdr:row>
      <xdr:rowOff>0</xdr:rowOff>
    </xdr:to>
    <xdr:pic>
      <xdr:nvPicPr>
        <xdr:cNvPr id="313230269" name="Picture">
          <a:extLst>
            <a:ext uri="{FF2B5EF4-FFF2-40B4-BE49-F238E27FC236}">
              <a16:creationId xmlns:a16="http://schemas.microsoft.com/office/drawing/2014/main" id="{00000000-0008-0000-0000-0000BD83AB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361315</xdr:colOff>
      <xdr:row>31</xdr:row>
      <xdr:rowOff>8255</xdr:rowOff>
    </xdr:to>
    <xdr:pic>
      <xdr:nvPicPr>
        <xdr:cNvPr id="1928431505" name="Picture">
          <a:extLst>
            <a:ext uri="{FF2B5EF4-FFF2-40B4-BE49-F238E27FC236}">
              <a16:creationId xmlns:a16="http://schemas.microsoft.com/office/drawing/2014/main" id="{00000000-0008-0000-0000-00009187F1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359410</xdr:colOff>
      <xdr:row>31</xdr:row>
      <xdr:rowOff>8255</xdr:rowOff>
    </xdr:to>
    <xdr:pic>
      <xdr:nvPicPr>
        <xdr:cNvPr id="272789106" name="Picture">
          <a:extLst>
            <a:ext uri="{FF2B5EF4-FFF2-40B4-BE49-F238E27FC236}">
              <a16:creationId xmlns:a16="http://schemas.microsoft.com/office/drawing/2014/main" id="{00000000-0008-0000-0000-0000726E42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361315</xdr:colOff>
      <xdr:row>31</xdr:row>
      <xdr:rowOff>8255</xdr:rowOff>
    </xdr:to>
    <xdr:pic>
      <xdr:nvPicPr>
        <xdr:cNvPr id="522181411" name="Picture">
          <a:extLst>
            <a:ext uri="{FF2B5EF4-FFF2-40B4-BE49-F238E27FC236}">
              <a16:creationId xmlns:a16="http://schemas.microsoft.com/office/drawing/2014/main" id="{00000000-0008-0000-0000-000023DB1F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361315</xdr:colOff>
      <xdr:row>31</xdr:row>
      <xdr:rowOff>8255</xdr:rowOff>
    </xdr:to>
    <xdr:pic>
      <xdr:nvPicPr>
        <xdr:cNvPr id="1374098710" name="Picture">
          <a:extLst>
            <a:ext uri="{FF2B5EF4-FFF2-40B4-BE49-F238E27FC236}">
              <a16:creationId xmlns:a16="http://schemas.microsoft.com/office/drawing/2014/main" id="{00000000-0008-0000-0000-00001615E7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361315</xdr:colOff>
      <xdr:row>31</xdr:row>
      <xdr:rowOff>8255</xdr:rowOff>
    </xdr:to>
    <xdr:pic>
      <xdr:nvPicPr>
        <xdr:cNvPr id="802475444" name="Picture">
          <a:extLst>
            <a:ext uri="{FF2B5EF4-FFF2-40B4-BE49-F238E27FC236}">
              <a16:creationId xmlns:a16="http://schemas.microsoft.com/office/drawing/2014/main" id="{00000000-0008-0000-0000-0000B4CDD4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30</xdr:row>
      <xdr:rowOff>12700</xdr:rowOff>
    </xdr:from>
    <xdr:to>
      <xdr:col>25</xdr:col>
      <xdr:colOff>361315</xdr:colOff>
      <xdr:row>31</xdr:row>
      <xdr:rowOff>8255</xdr:rowOff>
    </xdr:to>
    <xdr:pic>
      <xdr:nvPicPr>
        <xdr:cNvPr id="753272770" name="Picture">
          <a:extLst>
            <a:ext uri="{FF2B5EF4-FFF2-40B4-BE49-F238E27FC236}">
              <a16:creationId xmlns:a16="http://schemas.microsoft.com/office/drawing/2014/main" id="{00000000-0008-0000-0000-0000C207E6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58420</xdr:rowOff>
    </xdr:from>
    <xdr:to>
      <xdr:col>25</xdr:col>
      <xdr:colOff>361315</xdr:colOff>
      <xdr:row>11</xdr:row>
      <xdr:rowOff>15875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9ED47EF-A0A9-6920-81D6-2ADE4F52A00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819400" y="2725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13</xdr:row>
      <xdr:rowOff>12700</xdr:rowOff>
    </xdr:from>
    <xdr:to>
      <xdr:col>25</xdr:col>
      <xdr:colOff>361315</xdr:colOff>
      <xdr:row>14</xdr:row>
      <xdr:rowOff>635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50532D-A46E-8F3D-D912-D971893DDB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834640" y="3434080"/>
          <a:ext cx="980440" cy="22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12700</xdr:rowOff>
    </xdr:from>
    <xdr:to>
      <xdr:col>25</xdr:col>
      <xdr:colOff>370840</xdr:colOff>
      <xdr:row>2</xdr:row>
      <xdr:rowOff>238760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76764D5-13C5-4941-B37D-8B0F7B00B0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1925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12700</xdr:rowOff>
    </xdr:from>
    <xdr:to>
      <xdr:col>25</xdr:col>
      <xdr:colOff>363220</xdr:colOff>
      <xdr:row>2</xdr:row>
      <xdr:rowOff>238760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75CC356-C3D2-47ED-882E-256EA801F88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19253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6CA89454-BD79-4EDC-A055-07B68A3C6B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363220</xdr:colOff>
      <xdr:row>4</xdr:row>
      <xdr:rowOff>226060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D515882B-EABF-4DA4-B9A1-C49F06A1C9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6" name="Picture">
          <a:extLst>
            <a:ext uri="{FF2B5EF4-FFF2-40B4-BE49-F238E27FC236}">
              <a16:creationId xmlns:a16="http://schemas.microsoft.com/office/drawing/2014/main" id="{1B654047-64C5-4DA9-AE90-F6BFE527DC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7" name="Picture">
          <a:extLst>
            <a:ext uri="{FF2B5EF4-FFF2-40B4-BE49-F238E27FC236}">
              <a16:creationId xmlns:a16="http://schemas.microsoft.com/office/drawing/2014/main" id="{4293DF88-7536-4D6D-AFDB-D0B26BE7E9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8" name="Picture">
          <a:extLst>
            <a:ext uri="{FF2B5EF4-FFF2-40B4-BE49-F238E27FC236}">
              <a16:creationId xmlns:a16="http://schemas.microsoft.com/office/drawing/2014/main" id="{FF857F19-24A3-4F02-A710-B10D4CB19A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9" name="Picture">
          <a:extLst>
            <a:ext uri="{FF2B5EF4-FFF2-40B4-BE49-F238E27FC236}">
              <a16:creationId xmlns:a16="http://schemas.microsoft.com/office/drawing/2014/main" id="{07615B76-9502-4A85-B64D-F88E6E790A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428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363220</xdr:colOff>
      <xdr:row>4</xdr:row>
      <xdr:rowOff>226060</xdr:rowOff>
    </xdr:to>
    <xdr:pic>
      <xdr:nvPicPr>
        <xdr:cNvPr id="10" name="Picture">
          <a:extLst>
            <a:ext uri="{FF2B5EF4-FFF2-40B4-BE49-F238E27FC236}">
              <a16:creationId xmlns:a16="http://schemas.microsoft.com/office/drawing/2014/main" id="{EBE22065-E687-43C7-A7C4-F47F7A6242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4282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11" name="Picture">
          <a:extLst>
            <a:ext uri="{FF2B5EF4-FFF2-40B4-BE49-F238E27FC236}">
              <a16:creationId xmlns:a16="http://schemas.microsoft.com/office/drawing/2014/main" id="{42375465-8505-4489-ACFE-38DB78EE62E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363220</xdr:colOff>
      <xdr:row>4</xdr:row>
      <xdr:rowOff>238760</xdr:rowOff>
    </xdr:to>
    <xdr:pic>
      <xdr:nvPicPr>
        <xdr:cNvPr id="12" name="Picture">
          <a:extLst>
            <a:ext uri="{FF2B5EF4-FFF2-40B4-BE49-F238E27FC236}">
              <a16:creationId xmlns:a16="http://schemas.microsoft.com/office/drawing/2014/main" id="{DE5F8354-B40A-48AC-963E-6A1CBC484E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13" name="Picture">
          <a:extLst>
            <a:ext uri="{FF2B5EF4-FFF2-40B4-BE49-F238E27FC236}">
              <a16:creationId xmlns:a16="http://schemas.microsoft.com/office/drawing/2014/main" id="{5B2C0E48-AC84-45E4-B496-DF15751ECB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14" name="Picture">
          <a:extLst>
            <a:ext uri="{FF2B5EF4-FFF2-40B4-BE49-F238E27FC236}">
              <a16:creationId xmlns:a16="http://schemas.microsoft.com/office/drawing/2014/main" id="{2E2E5ABE-F254-4ED5-A0BB-50AEE104CF2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15" name="Picture">
          <a:extLst>
            <a:ext uri="{FF2B5EF4-FFF2-40B4-BE49-F238E27FC236}">
              <a16:creationId xmlns:a16="http://schemas.microsoft.com/office/drawing/2014/main" id="{E3585B6A-7AC9-4958-8F69-8F7056CB36A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16" name="Picture">
          <a:extLst>
            <a:ext uri="{FF2B5EF4-FFF2-40B4-BE49-F238E27FC236}">
              <a16:creationId xmlns:a16="http://schemas.microsoft.com/office/drawing/2014/main" id="{059427D6-9E3B-4E37-B320-12100721E7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17" name="Picture">
          <a:extLst>
            <a:ext uri="{FF2B5EF4-FFF2-40B4-BE49-F238E27FC236}">
              <a16:creationId xmlns:a16="http://schemas.microsoft.com/office/drawing/2014/main" id="{9A0F018D-2DDC-4CE4-BC44-3B6C62A559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18" name="Picture">
          <a:extLst>
            <a:ext uri="{FF2B5EF4-FFF2-40B4-BE49-F238E27FC236}">
              <a16:creationId xmlns:a16="http://schemas.microsoft.com/office/drawing/2014/main" id="{A2BF363F-FD9E-4A63-8EB3-4DE542D904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19" name="Picture">
          <a:extLst>
            <a:ext uri="{FF2B5EF4-FFF2-40B4-BE49-F238E27FC236}">
              <a16:creationId xmlns:a16="http://schemas.microsoft.com/office/drawing/2014/main" id="{1E13FF6B-68FB-4463-8621-51230153F4B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0" name="Picture">
          <a:extLst>
            <a:ext uri="{FF2B5EF4-FFF2-40B4-BE49-F238E27FC236}">
              <a16:creationId xmlns:a16="http://schemas.microsoft.com/office/drawing/2014/main" id="{A3A745C4-CD64-4A7E-B77C-CE1D24D29C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1" name="Picture">
          <a:extLst>
            <a:ext uri="{FF2B5EF4-FFF2-40B4-BE49-F238E27FC236}">
              <a16:creationId xmlns:a16="http://schemas.microsoft.com/office/drawing/2014/main" id="{E64311B9-EBFA-4003-8BE0-72A7EB1E50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2" name="Picture">
          <a:extLst>
            <a:ext uri="{FF2B5EF4-FFF2-40B4-BE49-F238E27FC236}">
              <a16:creationId xmlns:a16="http://schemas.microsoft.com/office/drawing/2014/main" id="{FB4F5EBD-9377-4328-9296-2F921BCDF4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23" name="Picture">
          <a:extLst>
            <a:ext uri="{FF2B5EF4-FFF2-40B4-BE49-F238E27FC236}">
              <a16:creationId xmlns:a16="http://schemas.microsoft.com/office/drawing/2014/main" id="{71EE35E5-2229-4E87-BC6F-AEF60E51B7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4" name="Picture">
          <a:extLst>
            <a:ext uri="{FF2B5EF4-FFF2-40B4-BE49-F238E27FC236}">
              <a16:creationId xmlns:a16="http://schemas.microsoft.com/office/drawing/2014/main" id="{446FE81F-DC03-4FA8-AE51-4598DF3CFF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5" name="Picture">
          <a:extLst>
            <a:ext uri="{FF2B5EF4-FFF2-40B4-BE49-F238E27FC236}">
              <a16:creationId xmlns:a16="http://schemas.microsoft.com/office/drawing/2014/main" id="{A5CA3874-DAD6-4AD2-9D75-E192472F8B0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6" name="Picture">
          <a:extLst>
            <a:ext uri="{FF2B5EF4-FFF2-40B4-BE49-F238E27FC236}">
              <a16:creationId xmlns:a16="http://schemas.microsoft.com/office/drawing/2014/main" id="{DEC57072-4499-40D6-A7AA-5556E6E31AD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7" name="Picture">
          <a:extLst>
            <a:ext uri="{FF2B5EF4-FFF2-40B4-BE49-F238E27FC236}">
              <a16:creationId xmlns:a16="http://schemas.microsoft.com/office/drawing/2014/main" id="{1A3C2108-3AA7-4AA7-A591-650F7FB97C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28" name="Picture">
          <a:extLst>
            <a:ext uri="{FF2B5EF4-FFF2-40B4-BE49-F238E27FC236}">
              <a16:creationId xmlns:a16="http://schemas.microsoft.com/office/drawing/2014/main" id="{C2C4B813-687D-42A6-97AD-9432B4F04F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29" name="Picture">
          <a:extLst>
            <a:ext uri="{FF2B5EF4-FFF2-40B4-BE49-F238E27FC236}">
              <a16:creationId xmlns:a16="http://schemas.microsoft.com/office/drawing/2014/main" id="{B35361B7-6E91-4704-A378-395DE10DF27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0" name="Picture">
          <a:extLst>
            <a:ext uri="{FF2B5EF4-FFF2-40B4-BE49-F238E27FC236}">
              <a16:creationId xmlns:a16="http://schemas.microsoft.com/office/drawing/2014/main" id="{6B5FEA18-290B-4D29-AEAA-0F21C38EF9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1" name="Picture">
          <a:extLst>
            <a:ext uri="{FF2B5EF4-FFF2-40B4-BE49-F238E27FC236}">
              <a16:creationId xmlns:a16="http://schemas.microsoft.com/office/drawing/2014/main" id="{114C9339-D7D7-45F9-81FE-235D10469B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2" name="Picture">
          <a:extLst>
            <a:ext uri="{FF2B5EF4-FFF2-40B4-BE49-F238E27FC236}">
              <a16:creationId xmlns:a16="http://schemas.microsoft.com/office/drawing/2014/main" id="{4A1A2807-3346-472C-95C3-648E6F4D1A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3" name="Picture">
          <a:extLst>
            <a:ext uri="{FF2B5EF4-FFF2-40B4-BE49-F238E27FC236}">
              <a16:creationId xmlns:a16="http://schemas.microsoft.com/office/drawing/2014/main" id="{1C29ABFE-29CE-4118-A10C-8F8527954E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4" name="Picture">
          <a:extLst>
            <a:ext uri="{FF2B5EF4-FFF2-40B4-BE49-F238E27FC236}">
              <a16:creationId xmlns:a16="http://schemas.microsoft.com/office/drawing/2014/main" id="{2710A37F-4BAB-4F23-8679-74A4B3A370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35" name="Picture">
          <a:extLst>
            <a:ext uri="{FF2B5EF4-FFF2-40B4-BE49-F238E27FC236}">
              <a16:creationId xmlns:a16="http://schemas.microsoft.com/office/drawing/2014/main" id="{3A41731A-C2E4-4BBA-A863-7786186CEB8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6855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6" name="Picture">
          <a:extLst>
            <a:ext uri="{FF2B5EF4-FFF2-40B4-BE49-F238E27FC236}">
              <a16:creationId xmlns:a16="http://schemas.microsoft.com/office/drawing/2014/main" id="{C60F6C8A-E9D6-42B6-A8FC-99C1F4242C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7" name="Picture">
          <a:extLst>
            <a:ext uri="{FF2B5EF4-FFF2-40B4-BE49-F238E27FC236}">
              <a16:creationId xmlns:a16="http://schemas.microsoft.com/office/drawing/2014/main" id="{DE7F36B9-DE7A-4467-8073-0C137662F6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8" name="Picture">
          <a:extLst>
            <a:ext uri="{FF2B5EF4-FFF2-40B4-BE49-F238E27FC236}">
              <a16:creationId xmlns:a16="http://schemas.microsoft.com/office/drawing/2014/main" id="{3C47CD6C-8EA5-4F53-9465-F1FE15BE1C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39" name="Picture">
          <a:extLst>
            <a:ext uri="{FF2B5EF4-FFF2-40B4-BE49-F238E27FC236}">
              <a16:creationId xmlns:a16="http://schemas.microsoft.com/office/drawing/2014/main" id="{7593AC73-4A2B-44CB-8226-7947E79F66D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0" name="Picture">
          <a:extLst>
            <a:ext uri="{FF2B5EF4-FFF2-40B4-BE49-F238E27FC236}">
              <a16:creationId xmlns:a16="http://schemas.microsoft.com/office/drawing/2014/main" id="{D0778A89-916F-4AF7-8CC3-A4CF4B6DF1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41" name="Picture">
          <a:extLst>
            <a:ext uri="{FF2B5EF4-FFF2-40B4-BE49-F238E27FC236}">
              <a16:creationId xmlns:a16="http://schemas.microsoft.com/office/drawing/2014/main" id="{23E7FE68-C15E-4DA8-9A87-01D3DB4C38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9370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2" name="Picture">
          <a:extLst>
            <a:ext uri="{FF2B5EF4-FFF2-40B4-BE49-F238E27FC236}">
              <a16:creationId xmlns:a16="http://schemas.microsoft.com/office/drawing/2014/main" id="{AD5C1A05-1B74-40A6-AF95-E2B7A02678D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3" name="Picture">
          <a:extLst>
            <a:ext uri="{FF2B5EF4-FFF2-40B4-BE49-F238E27FC236}">
              <a16:creationId xmlns:a16="http://schemas.microsoft.com/office/drawing/2014/main" id="{CC6C7A7B-2AD7-4AEC-98BD-C2B03C0501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4" name="Picture">
          <a:extLst>
            <a:ext uri="{FF2B5EF4-FFF2-40B4-BE49-F238E27FC236}">
              <a16:creationId xmlns:a16="http://schemas.microsoft.com/office/drawing/2014/main" id="{7E57C316-4446-4620-BAC8-197303B1E8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5" name="Picture">
          <a:extLst>
            <a:ext uri="{FF2B5EF4-FFF2-40B4-BE49-F238E27FC236}">
              <a16:creationId xmlns:a16="http://schemas.microsoft.com/office/drawing/2014/main" id="{844B7913-0EF1-48CB-9523-37307AC067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6" name="Picture">
          <a:extLst>
            <a:ext uri="{FF2B5EF4-FFF2-40B4-BE49-F238E27FC236}">
              <a16:creationId xmlns:a16="http://schemas.microsoft.com/office/drawing/2014/main" id="{4AB608C0-029B-4663-8265-E17C83CB46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47" name="Picture">
          <a:extLst>
            <a:ext uri="{FF2B5EF4-FFF2-40B4-BE49-F238E27FC236}">
              <a16:creationId xmlns:a16="http://schemas.microsoft.com/office/drawing/2014/main" id="{88379C94-42C0-460E-B79E-79E6B386AB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8" name="Picture">
          <a:extLst>
            <a:ext uri="{FF2B5EF4-FFF2-40B4-BE49-F238E27FC236}">
              <a16:creationId xmlns:a16="http://schemas.microsoft.com/office/drawing/2014/main" id="{FC4D7928-B2DB-4ECC-8D5F-EBAE3099A3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9" name="Picture">
          <a:extLst>
            <a:ext uri="{FF2B5EF4-FFF2-40B4-BE49-F238E27FC236}">
              <a16:creationId xmlns:a16="http://schemas.microsoft.com/office/drawing/2014/main" id="{8F25E47B-82EF-474A-81E0-83A3A7946D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50" name="Picture">
          <a:extLst>
            <a:ext uri="{FF2B5EF4-FFF2-40B4-BE49-F238E27FC236}">
              <a16:creationId xmlns:a16="http://schemas.microsoft.com/office/drawing/2014/main" id="{06269C77-E00C-436F-A455-4EEAC7C2B7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51" name="Picture">
          <a:extLst>
            <a:ext uri="{FF2B5EF4-FFF2-40B4-BE49-F238E27FC236}">
              <a16:creationId xmlns:a16="http://schemas.microsoft.com/office/drawing/2014/main" id="{9E71DE31-06B5-4BA6-B400-FC6369CB59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2" name="Picture">
          <a:extLst>
            <a:ext uri="{FF2B5EF4-FFF2-40B4-BE49-F238E27FC236}">
              <a16:creationId xmlns:a16="http://schemas.microsoft.com/office/drawing/2014/main" id="{A17D920E-641F-44B8-AB1A-6633328ED9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363220</xdr:colOff>
      <xdr:row>5</xdr:row>
      <xdr:rowOff>238760</xdr:rowOff>
    </xdr:to>
    <xdr:pic>
      <xdr:nvPicPr>
        <xdr:cNvPr id="53" name="Picture">
          <a:extLst>
            <a:ext uri="{FF2B5EF4-FFF2-40B4-BE49-F238E27FC236}">
              <a16:creationId xmlns:a16="http://schemas.microsoft.com/office/drawing/2014/main" id="{D7E33392-5DFA-4604-92B1-309E9DB598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4" name="Picture">
          <a:extLst>
            <a:ext uri="{FF2B5EF4-FFF2-40B4-BE49-F238E27FC236}">
              <a16:creationId xmlns:a16="http://schemas.microsoft.com/office/drawing/2014/main" id="{C8D1F0B8-2494-4062-98CF-465D0213F0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5" name="Picture">
          <a:extLst>
            <a:ext uri="{FF2B5EF4-FFF2-40B4-BE49-F238E27FC236}">
              <a16:creationId xmlns:a16="http://schemas.microsoft.com/office/drawing/2014/main" id="{F7DF21BA-B9E4-4624-86A0-220D4A7E075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6" name="Picture">
          <a:extLst>
            <a:ext uri="{FF2B5EF4-FFF2-40B4-BE49-F238E27FC236}">
              <a16:creationId xmlns:a16="http://schemas.microsoft.com/office/drawing/2014/main" id="{2AF95F24-DDBD-4877-960E-C489291298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7" name="Picture">
          <a:extLst>
            <a:ext uri="{FF2B5EF4-FFF2-40B4-BE49-F238E27FC236}">
              <a16:creationId xmlns:a16="http://schemas.microsoft.com/office/drawing/2014/main" id="{5FF35EE7-3A48-42DF-A1DE-8E63C5BB90F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8" name="Picture">
          <a:extLst>
            <a:ext uri="{FF2B5EF4-FFF2-40B4-BE49-F238E27FC236}">
              <a16:creationId xmlns:a16="http://schemas.microsoft.com/office/drawing/2014/main" id="{0D1CD34F-7C0C-4D4D-A23E-EA93C58875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363220</xdr:colOff>
      <xdr:row>6</xdr:row>
      <xdr:rowOff>226060</xdr:rowOff>
    </xdr:to>
    <xdr:pic>
      <xdr:nvPicPr>
        <xdr:cNvPr id="59" name="Picture">
          <a:extLst>
            <a:ext uri="{FF2B5EF4-FFF2-40B4-BE49-F238E27FC236}">
              <a16:creationId xmlns:a16="http://schemas.microsoft.com/office/drawing/2014/main" id="{7AB2224B-3F25-462B-871A-8E0F143A39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0" name="Picture">
          <a:extLst>
            <a:ext uri="{FF2B5EF4-FFF2-40B4-BE49-F238E27FC236}">
              <a16:creationId xmlns:a16="http://schemas.microsoft.com/office/drawing/2014/main" id="{66B5C559-BA5F-4591-BA44-6C09C5102E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1" name="Picture">
          <a:extLst>
            <a:ext uri="{FF2B5EF4-FFF2-40B4-BE49-F238E27FC236}">
              <a16:creationId xmlns:a16="http://schemas.microsoft.com/office/drawing/2014/main" id="{135F02F8-8CA2-460F-9156-3E418C050E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2" name="Picture">
          <a:extLst>
            <a:ext uri="{FF2B5EF4-FFF2-40B4-BE49-F238E27FC236}">
              <a16:creationId xmlns:a16="http://schemas.microsoft.com/office/drawing/2014/main" id="{8BB95436-DDA5-4559-A89D-D0C574C4AC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3" name="Picture">
          <a:extLst>
            <a:ext uri="{FF2B5EF4-FFF2-40B4-BE49-F238E27FC236}">
              <a16:creationId xmlns:a16="http://schemas.microsoft.com/office/drawing/2014/main" id="{37024342-BA48-467F-BB19-1F4E22CF1F9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64" name="Picture">
          <a:extLst>
            <a:ext uri="{FF2B5EF4-FFF2-40B4-BE49-F238E27FC236}">
              <a16:creationId xmlns:a16="http://schemas.microsoft.com/office/drawing/2014/main" id="{63079C47-458A-475D-BB5A-EE9A6FBBB9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9428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363220</xdr:colOff>
      <xdr:row>6</xdr:row>
      <xdr:rowOff>238760</xdr:rowOff>
    </xdr:to>
    <xdr:pic>
      <xdr:nvPicPr>
        <xdr:cNvPr id="65" name="Picture">
          <a:extLst>
            <a:ext uri="{FF2B5EF4-FFF2-40B4-BE49-F238E27FC236}">
              <a16:creationId xmlns:a16="http://schemas.microsoft.com/office/drawing/2014/main" id="{C83BA51D-2FA0-461B-835E-B224302128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9428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66" name="Picture">
          <a:extLst>
            <a:ext uri="{FF2B5EF4-FFF2-40B4-BE49-F238E27FC236}">
              <a16:creationId xmlns:a16="http://schemas.microsoft.com/office/drawing/2014/main" id="{C9FB2C29-578A-4338-8286-598742D400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363220</xdr:colOff>
      <xdr:row>7</xdr:row>
      <xdr:rowOff>226060</xdr:rowOff>
    </xdr:to>
    <xdr:pic>
      <xdr:nvPicPr>
        <xdr:cNvPr id="67" name="Picture">
          <a:extLst>
            <a:ext uri="{FF2B5EF4-FFF2-40B4-BE49-F238E27FC236}">
              <a16:creationId xmlns:a16="http://schemas.microsoft.com/office/drawing/2014/main" id="{950B9DEC-443C-46CC-8988-61AA884F6A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68" name="Picture">
          <a:extLst>
            <a:ext uri="{FF2B5EF4-FFF2-40B4-BE49-F238E27FC236}">
              <a16:creationId xmlns:a16="http://schemas.microsoft.com/office/drawing/2014/main" id="{64354302-6985-4535-8415-02D9647F2B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69" name="Picture">
          <a:extLst>
            <a:ext uri="{FF2B5EF4-FFF2-40B4-BE49-F238E27FC236}">
              <a16:creationId xmlns:a16="http://schemas.microsoft.com/office/drawing/2014/main" id="{06D9D08D-23EB-4000-913D-1A3613CF1DA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70" name="Picture">
          <a:extLst>
            <a:ext uri="{FF2B5EF4-FFF2-40B4-BE49-F238E27FC236}">
              <a16:creationId xmlns:a16="http://schemas.microsoft.com/office/drawing/2014/main" id="{A0C675FE-4EDF-492D-B309-7BE1684351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1" name="Picture">
          <a:extLst>
            <a:ext uri="{FF2B5EF4-FFF2-40B4-BE49-F238E27FC236}">
              <a16:creationId xmlns:a16="http://schemas.microsoft.com/office/drawing/2014/main" id="{633EFF4F-4992-4114-BB97-32386F4642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363220</xdr:colOff>
      <xdr:row>7</xdr:row>
      <xdr:rowOff>238760</xdr:rowOff>
    </xdr:to>
    <xdr:pic>
      <xdr:nvPicPr>
        <xdr:cNvPr id="72" name="Picture">
          <a:extLst>
            <a:ext uri="{FF2B5EF4-FFF2-40B4-BE49-F238E27FC236}">
              <a16:creationId xmlns:a16="http://schemas.microsoft.com/office/drawing/2014/main" id="{5A246F36-93A1-4D6E-B1ED-7ECCFF5A5E7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3" name="Picture">
          <a:extLst>
            <a:ext uri="{FF2B5EF4-FFF2-40B4-BE49-F238E27FC236}">
              <a16:creationId xmlns:a16="http://schemas.microsoft.com/office/drawing/2014/main" id="{E19D9B07-4546-4ABB-A6B5-40B05EB647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4" name="Picture">
          <a:extLst>
            <a:ext uri="{FF2B5EF4-FFF2-40B4-BE49-F238E27FC236}">
              <a16:creationId xmlns:a16="http://schemas.microsoft.com/office/drawing/2014/main" id="{F7DF3ABC-FC10-4F91-8F87-48A25A33BB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5" name="Picture">
          <a:extLst>
            <a:ext uri="{FF2B5EF4-FFF2-40B4-BE49-F238E27FC236}">
              <a16:creationId xmlns:a16="http://schemas.microsoft.com/office/drawing/2014/main" id="{C8A17BAE-93DE-44EF-B461-D8CB1ACFA3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76" name="Picture">
          <a:extLst>
            <a:ext uri="{FF2B5EF4-FFF2-40B4-BE49-F238E27FC236}">
              <a16:creationId xmlns:a16="http://schemas.microsoft.com/office/drawing/2014/main" id="{09768AA9-CB00-42A6-AA9F-0BD46E98981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77" name="Picture">
          <a:extLst>
            <a:ext uri="{FF2B5EF4-FFF2-40B4-BE49-F238E27FC236}">
              <a16:creationId xmlns:a16="http://schemas.microsoft.com/office/drawing/2014/main" id="{43797DBD-10A8-4CDC-B000-CD459E4F51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78" name="Picture">
          <a:extLst>
            <a:ext uri="{FF2B5EF4-FFF2-40B4-BE49-F238E27FC236}">
              <a16:creationId xmlns:a16="http://schemas.microsoft.com/office/drawing/2014/main" id="{680875BD-AE2C-4169-8252-FEE1A467ED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79" name="Picture">
          <a:extLst>
            <a:ext uri="{FF2B5EF4-FFF2-40B4-BE49-F238E27FC236}">
              <a16:creationId xmlns:a16="http://schemas.microsoft.com/office/drawing/2014/main" id="{CC2525DC-43EB-4074-BA74-D36AF6147C2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0" name="Picture">
          <a:extLst>
            <a:ext uri="{FF2B5EF4-FFF2-40B4-BE49-F238E27FC236}">
              <a16:creationId xmlns:a16="http://schemas.microsoft.com/office/drawing/2014/main" id="{DAC114FB-6B9D-4A9B-94C7-8F70E3C886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1" name="Picture">
          <a:extLst>
            <a:ext uri="{FF2B5EF4-FFF2-40B4-BE49-F238E27FC236}">
              <a16:creationId xmlns:a16="http://schemas.microsoft.com/office/drawing/2014/main" id="{5DF12FC7-CAFE-4D3C-8C19-17981F922A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2" name="Picture">
          <a:extLst>
            <a:ext uri="{FF2B5EF4-FFF2-40B4-BE49-F238E27FC236}">
              <a16:creationId xmlns:a16="http://schemas.microsoft.com/office/drawing/2014/main" id="{940AAE2B-4B7E-41C2-8485-B873F6A023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83" name="Picture">
          <a:extLst>
            <a:ext uri="{FF2B5EF4-FFF2-40B4-BE49-F238E27FC236}">
              <a16:creationId xmlns:a16="http://schemas.microsoft.com/office/drawing/2014/main" id="{B2D00E6B-99C9-47FA-8F19-99B005FE88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4" name="Picture">
          <a:extLst>
            <a:ext uri="{FF2B5EF4-FFF2-40B4-BE49-F238E27FC236}">
              <a16:creationId xmlns:a16="http://schemas.microsoft.com/office/drawing/2014/main" id="{F7791E1E-E816-4B5C-9A07-EAA1980B2F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5" name="Picture">
          <a:extLst>
            <a:ext uri="{FF2B5EF4-FFF2-40B4-BE49-F238E27FC236}">
              <a16:creationId xmlns:a16="http://schemas.microsoft.com/office/drawing/2014/main" id="{046F4C3E-8E52-477F-A003-A5466235DF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6" name="Picture">
          <a:extLst>
            <a:ext uri="{FF2B5EF4-FFF2-40B4-BE49-F238E27FC236}">
              <a16:creationId xmlns:a16="http://schemas.microsoft.com/office/drawing/2014/main" id="{5B88D359-CAB1-428C-B59C-7E181A9DBF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87" name="Picture">
          <a:extLst>
            <a:ext uri="{FF2B5EF4-FFF2-40B4-BE49-F238E27FC236}">
              <a16:creationId xmlns:a16="http://schemas.microsoft.com/office/drawing/2014/main" id="{2D980E4F-204D-4388-B91B-E70D52BD7F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363220</xdr:colOff>
      <xdr:row>9</xdr:row>
      <xdr:rowOff>238760</xdr:rowOff>
    </xdr:to>
    <xdr:pic>
      <xdr:nvPicPr>
        <xdr:cNvPr id="88" name="Picture">
          <a:extLst>
            <a:ext uri="{FF2B5EF4-FFF2-40B4-BE49-F238E27FC236}">
              <a16:creationId xmlns:a16="http://schemas.microsoft.com/office/drawing/2014/main" id="{CBA0253A-8303-426B-9525-47ACB1B945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64516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89" name="Picture">
          <a:extLst>
            <a:ext uri="{FF2B5EF4-FFF2-40B4-BE49-F238E27FC236}">
              <a16:creationId xmlns:a16="http://schemas.microsoft.com/office/drawing/2014/main" id="{A3AE6FD8-35E0-4A93-BDCE-57AA71A795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90" name="Picture">
          <a:extLst>
            <a:ext uri="{FF2B5EF4-FFF2-40B4-BE49-F238E27FC236}">
              <a16:creationId xmlns:a16="http://schemas.microsoft.com/office/drawing/2014/main" id="{BF38C8EE-D021-4F17-A31B-05428B903F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91" name="Picture">
          <a:extLst>
            <a:ext uri="{FF2B5EF4-FFF2-40B4-BE49-F238E27FC236}">
              <a16:creationId xmlns:a16="http://schemas.microsoft.com/office/drawing/2014/main" id="{241A8621-3FCC-4BE3-B150-CEFBAE2592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92" name="Picture">
          <a:extLst>
            <a:ext uri="{FF2B5EF4-FFF2-40B4-BE49-F238E27FC236}">
              <a16:creationId xmlns:a16="http://schemas.microsoft.com/office/drawing/2014/main" id="{5FA53075-94E2-4843-AEF7-D1B2ACABF5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93" name="Picture">
          <a:extLst>
            <a:ext uri="{FF2B5EF4-FFF2-40B4-BE49-F238E27FC236}">
              <a16:creationId xmlns:a16="http://schemas.microsoft.com/office/drawing/2014/main" id="{060809F5-DE6E-460C-9D19-8083795C7E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363220</xdr:colOff>
      <xdr:row>10</xdr:row>
      <xdr:rowOff>238760</xdr:rowOff>
    </xdr:to>
    <xdr:pic>
      <xdr:nvPicPr>
        <xdr:cNvPr id="94" name="Picture">
          <a:extLst>
            <a:ext uri="{FF2B5EF4-FFF2-40B4-BE49-F238E27FC236}">
              <a16:creationId xmlns:a16="http://schemas.microsoft.com/office/drawing/2014/main" id="{785627A3-8A87-4E05-A0D4-F9CFA5F44EF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95" name="Picture">
          <a:extLst>
            <a:ext uri="{FF2B5EF4-FFF2-40B4-BE49-F238E27FC236}">
              <a16:creationId xmlns:a16="http://schemas.microsoft.com/office/drawing/2014/main" id="{0A42D79F-0E4C-4B10-8CD8-91AB1F596A9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96" name="Picture">
          <a:extLst>
            <a:ext uri="{FF2B5EF4-FFF2-40B4-BE49-F238E27FC236}">
              <a16:creationId xmlns:a16="http://schemas.microsoft.com/office/drawing/2014/main" id="{3B460997-9FD5-4B40-AC5C-F7A49FB812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97" name="Picture">
          <a:extLst>
            <a:ext uri="{FF2B5EF4-FFF2-40B4-BE49-F238E27FC236}">
              <a16:creationId xmlns:a16="http://schemas.microsoft.com/office/drawing/2014/main" id="{49C7B2F6-FDD1-4F0E-98B8-9CCCFDCB5F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98" name="Picture">
          <a:extLst>
            <a:ext uri="{FF2B5EF4-FFF2-40B4-BE49-F238E27FC236}">
              <a16:creationId xmlns:a16="http://schemas.microsoft.com/office/drawing/2014/main" id="{C5FAD93F-6B77-45A6-9960-664A7D79C9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9" name="Picture">
          <a:extLst>
            <a:ext uri="{FF2B5EF4-FFF2-40B4-BE49-F238E27FC236}">
              <a16:creationId xmlns:a16="http://schemas.microsoft.com/office/drawing/2014/main" id="{580FB06D-59D1-4F18-A275-21405C93FD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100" name="Picture">
          <a:extLst>
            <a:ext uri="{FF2B5EF4-FFF2-40B4-BE49-F238E27FC236}">
              <a16:creationId xmlns:a16="http://schemas.microsoft.com/office/drawing/2014/main" id="{DA20A503-4516-4B4A-A9C4-DD640A61AB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1" name="Picture">
          <a:extLst>
            <a:ext uri="{FF2B5EF4-FFF2-40B4-BE49-F238E27FC236}">
              <a16:creationId xmlns:a16="http://schemas.microsoft.com/office/drawing/2014/main" id="{4E5BD0F6-FF81-4ED2-B4A5-986337E67D4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2" name="Picture">
          <a:extLst>
            <a:ext uri="{FF2B5EF4-FFF2-40B4-BE49-F238E27FC236}">
              <a16:creationId xmlns:a16="http://schemas.microsoft.com/office/drawing/2014/main" id="{6EE44E4B-27AF-4D7F-8291-FC22F001418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3" name="Picture">
          <a:extLst>
            <a:ext uri="{FF2B5EF4-FFF2-40B4-BE49-F238E27FC236}">
              <a16:creationId xmlns:a16="http://schemas.microsoft.com/office/drawing/2014/main" id="{CB62480D-AB45-4029-A022-5CF29660BB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4" name="Picture">
          <a:extLst>
            <a:ext uri="{FF2B5EF4-FFF2-40B4-BE49-F238E27FC236}">
              <a16:creationId xmlns:a16="http://schemas.microsoft.com/office/drawing/2014/main" id="{42DFA692-5193-4148-B865-D088C193AE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5" name="Picture">
          <a:extLst>
            <a:ext uri="{FF2B5EF4-FFF2-40B4-BE49-F238E27FC236}">
              <a16:creationId xmlns:a16="http://schemas.microsoft.com/office/drawing/2014/main" id="{051A0EC2-B832-49C4-96DA-0114AD0E789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106" name="Picture">
          <a:extLst>
            <a:ext uri="{FF2B5EF4-FFF2-40B4-BE49-F238E27FC236}">
              <a16:creationId xmlns:a16="http://schemas.microsoft.com/office/drawing/2014/main" id="{633FDF8C-34A1-4C86-B555-1DF360573C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7" name="Picture">
          <a:extLst>
            <a:ext uri="{FF2B5EF4-FFF2-40B4-BE49-F238E27FC236}">
              <a16:creationId xmlns:a16="http://schemas.microsoft.com/office/drawing/2014/main" id="{5FA143C5-EF9E-415A-A4AE-71BDB90B73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8" name="Picture">
          <a:extLst>
            <a:ext uri="{FF2B5EF4-FFF2-40B4-BE49-F238E27FC236}">
              <a16:creationId xmlns:a16="http://schemas.microsoft.com/office/drawing/2014/main" id="{56D05980-6D04-4977-B866-20120C745A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09" name="Picture">
          <a:extLst>
            <a:ext uri="{FF2B5EF4-FFF2-40B4-BE49-F238E27FC236}">
              <a16:creationId xmlns:a16="http://schemas.microsoft.com/office/drawing/2014/main" id="{B00ABFB9-0D77-4306-8493-409BF6560FE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0" name="Picture">
          <a:extLst>
            <a:ext uri="{FF2B5EF4-FFF2-40B4-BE49-F238E27FC236}">
              <a16:creationId xmlns:a16="http://schemas.microsoft.com/office/drawing/2014/main" id="{ADF4A55A-7619-49FD-A20D-96C765CA25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1" name="Picture">
          <a:extLst>
            <a:ext uri="{FF2B5EF4-FFF2-40B4-BE49-F238E27FC236}">
              <a16:creationId xmlns:a16="http://schemas.microsoft.com/office/drawing/2014/main" id="{C87C0C16-3EC3-4F6D-86D4-5DC36CDE76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112" name="Picture">
          <a:extLst>
            <a:ext uri="{FF2B5EF4-FFF2-40B4-BE49-F238E27FC236}">
              <a16:creationId xmlns:a16="http://schemas.microsoft.com/office/drawing/2014/main" id="{2C9C99AE-E90F-47B9-8F94-29A5C02386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3" name="Picture">
          <a:extLst>
            <a:ext uri="{FF2B5EF4-FFF2-40B4-BE49-F238E27FC236}">
              <a16:creationId xmlns:a16="http://schemas.microsoft.com/office/drawing/2014/main" id="{801C3B87-8FFE-47C1-8829-AF20AA47F4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4" name="Picture">
          <a:extLst>
            <a:ext uri="{FF2B5EF4-FFF2-40B4-BE49-F238E27FC236}">
              <a16:creationId xmlns:a16="http://schemas.microsoft.com/office/drawing/2014/main" id="{838B2D6A-994D-45CE-AA80-26E1212F95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5" name="Picture">
          <a:extLst>
            <a:ext uri="{FF2B5EF4-FFF2-40B4-BE49-F238E27FC236}">
              <a16:creationId xmlns:a16="http://schemas.microsoft.com/office/drawing/2014/main" id="{E6C47623-538C-4B5D-A16D-1D4742A114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116" name="Picture">
          <a:extLst>
            <a:ext uri="{FF2B5EF4-FFF2-40B4-BE49-F238E27FC236}">
              <a16:creationId xmlns:a16="http://schemas.microsoft.com/office/drawing/2014/main" id="{C7A2C310-2750-4A8E-91E7-B64CDE05D3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17" name="Picture">
          <a:extLst>
            <a:ext uri="{FF2B5EF4-FFF2-40B4-BE49-F238E27FC236}">
              <a16:creationId xmlns:a16="http://schemas.microsoft.com/office/drawing/2014/main" id="{D0A84DAB-36FB-4C0C-97C2-FF9AD4F7B1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363220</xdr:colOff>
      <xdr:row>11</xdr:row>
      <xdr:rowOff>238760</xdr:rowOff>
    </xdr:to>
    <xdr:pic>
      <xdr:nvPicPr>
        <xdr:cNvPr id="118" name="Picture">
          <a:extLst>
            <a:ext uri="{FF2B5EF4-FFF2-40B4-BE49-F238E27FC236}">
              <a16:creationId xmlns:a16="http://schemas.microsoft.com/office/drawing/2014/main" id="{40BBB192-A9BF-4F57-A520-C95B771E20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19" name="Picture">
          <a:extLst>
            <a:ext uri="{FF2B5EF4-FFF2-40B4-BE49-F238E27FC236}">
              <a16:creationId xmlns:a16="http://schemas.microsoft.com/office/drawing/2014/main" id="{2C105030-26E9-4474-8B82-28DDFADCF5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20" name="Picture">
          <a:extLst>
            <a:ext uri="{FF2B5EF4-FFF2-40B4-BE49-F238E27FC236}">
              <a16:creationId xmlns:a16="http://schemas.microsoft.com/office/drawing/2014/main" id="{EDEA90D4-9005-4937-905C-CA80EBB70B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21" name="Picture">
          <a:extLst>
            <a:ext uri="{FF2B5EF4-FFF2-40B4-BE49-F238E27FC236}">
              <a16:creationId xmlns:a16="http://schemas.microsoft.com/office/drawing/2014/main" id="{8A0A7BBA-6892-48E9-A497-F64AD5298C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22" name="Picture">
          <a:extLst>
            <a:ext uri="{FF2B5EF4-FFF2-40B4-BE49-F238E27FC236}">
              <a16:creationId xmlns:a16="http://schemas.microsoft.com/office/drawing/2014/main" id="{DC28A1FE-D8B6-4A37-B5E6-C23C2324FE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58420</xdr:rowOff>
    </xdr:from>
    <xdr:to>
      <xdr:col>25</xdr:col>
      <xdr:colOff>370840</xdr:colOff>
      <xdr:row>5</xdr:row>
      <xdr:rowOff>33020</xdr:rowOff>
    </xdr:to>
    <xdr:pic>
      <xdr:nvPicPr>
        <xdr:cNvPr id="123" name="Picture">
          <a:extLst>
            <a:ext uri="{FF2B5EF4-FFF2-40B4-BE49-F238E27FC236}">
              <a16:creationId xmlns:a16="http://schemas.microsoft.com/office/drawing/2014/main" id="{8E4D5756-DD85-4EEC-AD87-94D73B0C6A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725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124" name="Picture">
          <a:extLst>
            <a:ext uri="{FF2B5EF4-FFF2-40B4-BE49-F238E27FC236}">
              <a16:creationId xmlns:a16="http://schemas.microsoft.com/office/drawing/2014/main" id="{C33929EA-8B7E-48C8-BCD8-493EB2FCE3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72BB46A-A832-40AA-9BB9-403C5D8971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0929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363220</xdr:colOff>
      <xdr:row>6</xdr:row>
      <xdr:rowOff>226060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B9D50F6-D304-4095-B3F7-664C857EE6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0929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132EF6A7-DC8A-4DDB-974C-EDCECD7D3D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344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363220</xdr:colOff>
      <xdr:row>6</xdr:row>
      <xdr:rowOff>238760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C7952B9E-0980-4F41-B765-835CAB1A25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3444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6" name="Picture">
          <a:extLst>
            <a:ext uri="{FF2B5EF4-FFF2-40B4-BE49-F238E27FC236}">
              <a16:creationId xmlns:a16="http://schemas.microsoft.com/office/drawing/2014/main" id="{57DAB661-6B29-4C61-9241-99FEC81A77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344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7" name="Picture">
          <a:extLst>
            <a:ext uri="{FF2B5EF4-FFF2-40B4-BE49-F238E27FC236}">
              <a16:creationId xmlns:a16="http://schemas.microsoft.com/office/drawing/2014/main" id="{6F5D93BC-8060-4E43-8BCC-C256145705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344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8" name="Picture">
          <a:extLst>
            <a:ext uri="{FF2B5EF4-FFF2-40B4-BE49-F238E27FC236}">
              <a16:creationId xmlns:a16="http://schemas.microsoft.com/office/drawing/2014/main" id="{CDA9339E-58D8-4E15-937A-DF923D64CA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344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9" name="Picture">
          <a:extLst>
            <a:ext uri="{FF2B5EF4-FFF2-40B4-BE49-F238E27FC236}">
              <a16:creationId xmlns:a16="http://schemas.microsoft.com/office/drawing/2014/main" id="{E0BD0BF5-1BCC-4CA8-8BC5-6145B560C4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5958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363220</xdr:colOff>
      <xdr:row>7</xdr:row>
      <xdr:rowOff>226060</xdr:rowOff>
    </xdr:to>
    <xdr:pic>
      <xdr:nvPicPr>
        <xdr:cNvPr id="10" name="Picture">
          <a:extLst>
            <a:ext uri="{FF2B5EF4-FFF2-40B4-BE49-F238E27FC236}">
              <a16:creationId xmlns:a16="http://schemas.microsoft.com/office/drawing/2014/main" id="{5EA9A229-6F8B-4F6D-9C43-C81AE41D8E1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5958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11" name="Picture">
          <a:extLst>
            <a:ext uri="{FF2B5EF4-FFF2-40B4-BE49-F238E27FC236}">
              <a16:creationId xmlns:a16="http://schemas.microsoft.com/office/drawing/2014/main" id="{21A80237-2912-4C9A-B266-307CDFF6A7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8473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363220</xdr:colOff>
      <xdr:row>7</xdr:row>
      <xdr:rowOff>226060</xdr:rowOff>
    </xdr:to>
    <xdr:pic>
      <xdr:nvPicPr>
        <xdr:cNvPr id="12" name="Picture">
          <a:extLst>
            <a:ext uri="{FF2B5EF4-FFF2-40B4-BE49-F238E27FC236}">
              <a16:creationId xmlns:a16="http://schemas.microsoft.com/office/drawing/2014/main" id="{3E367974-E241-49B0-835E-50796A0BF9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8473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13" name="Picture">
          <a:extLst>
            <a:ext uri="{FF2B5EF4-FFF2-40B4-BE49-F238E27FC236}">
              <a16:creationId xmlns:a16="http://schemas.microsoft.com/office/drawing/2014/main" id="{13E731BA-6A32-42D4-808F-20236282BB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8473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14" name="Picture">
          <a:extLst>
            <a:ext uri="{FF2B5EF4-FFF2-40B4-BE49-F238E27FC236}">
              <a16:creationId xmlns:a16="http://schemas.microsoft.com/office/drawing/2014/main" id="{AF3F59B3-6BE6-4AE1-825B-80BDEB0A3C5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28473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15" name="Picture">
          <a:extLst>
            <a:ext uri="{FF2B5EF4-FFF2-40B4-BE49-F238E27FC236}">
              <a16:creationId xmlns:a16="http://schemas.microsoft.com/office/drawing/2014/main" id="{B6E87F45-4B3D-4C8F-95E5-BABA87CCDE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8473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16" name="Picture">
          <a:extLst>
            <a:ext uri="{FF2B5EF4-FFF2-40B4-BE49-F238E27FC236}">
              <a16:creationId xmlns:a16="http://schemas.microsoft.com/office/drawing/2014/main" id="{0B08D3F9-4CE9-455D-B74C-0F45495416D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363220</xdr:colOff>
      <xdr:row>7</xdr:row>
      <xdr:rowOff>238760</xdr:rowOff>
    </xdr:to>
    <xdr:pic>
      <xdr:nvPicPr>
        <xdr:cNvPr id="17" name="Picture">
          <a:extLst>
            <a:ext uri="{FF2B5EF4-FFF2-40B4-BE49-F238E27FC236}">
              <a16:creationId xmlns:a16="http://schemas.microsoft.com/office/drawing/2014/main" id="{9F8B7813-39FF-4A4A-8637-50238369ADE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18" name="Picture">
          <a:extLst>
            <a:ext uri="{FF2B5EF4-FFF2-40B4-BE49-F238E27FC236}">
              <a16:creationId xmlns:a16="http://schemas.microsoft.com/office/drawing/2014/main" id="{26F7B8B3-073D-44AF-B653-2BFE8B9851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19" name="Picture">
          <a:extLst>
            <a:ext uri="{FF2B5EF4-FFF2-40B4-BE49-F238E27FC236}">
              <a16:creationId xmlns:a16="http://schemas.microsoft.com/office/drawing/2014/main" id="{206DDEC4-863E-4CB9-9745-576B76B240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20" name="Picture">
          <a:extLst>
            <a:ext uri="{FF2B5EF4-FFF2-40B4-BE49-F238E27FC236}">
              <a16:creationId xmlns:a16="http://schemas.microsoft.com/office/drawing/2014/main" id="{9781C60A-DD88-4FCA-A70F-3ECCC7C306D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21" name="Picture">
          <a:extLst>
            <a:ext uri="{FF2B5EF4-FFF2-40B4-BE49-F238E27FC236}">
              <a16:creationId xmlns:a16="http://schemas.microsoft.com/office/drawing/2014/main" id="{6C221429-D4A6-4686-B404-4D0568C7506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0988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22" name="Picture">
          <a:extLst>
            <a:ext uri="{FF2B5EF4-FFF2-40B4-BE49-F238E27FC236}">
              <a16:creationId xmlns:a16="http://schemas.microsoft.com/office/drawing/2014/main" id="{E4997B6A-B012-4BD8-B31A-EC439FA0429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363220</xdr:colOff>
      <xdr:row>8</xdr:row>
      <xdr:rowOff>238760</xdr:rowOff>
    </xdr:to>
    <xdr:pic>
      <xdr:nvPicPr>
        <xdr:cNvPr id="23" name="Picture">
          <a:extLst>
            <a:ext uri="{FF2B5EF4-FFF2-40B4-BE49-F238E27FC236}">
              <a16:creationId xmlns:a16="http://schemas.microsoft.com/office/drawing/2014/main" id="{4E4D1B3E-63BF-4B36-B84C-824B20F8E3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24" name="Picture">
          <a:extLst>
            <a:ext uri="{FF2B5EF4-FFF2-40B4-BE49-F238E27FC236}">
              <a16:creationId xmlns:a16="http://schemas.microsoft.com/office/drawing/2014/main" id="{EEC5266C-F356-4441-A9C0-E91220F69E4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25" name="Picture">
          <a:extLst>
            <a:ext uri="{FF2B5EF4-FFF2-40B4-BE49-F238E27FC236}">
              <a16:creationId xmlns:a16="http://schemas.microsoft.com/office/drawing/2014/main" id="{77B6E4FE-2009-450D-BCE3-F390108F177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26" name="Picture">
          <a:extLst>
            <a:ext uri="{FF2B5EF4-FFF2-40B4-BE49-F238E27FC236}">
              <a16:creationId xmlns:a16="http://schemas.microsoft.com/office/drawing/2014/main" id="{65B8B836-9983-4C29-A936-AB542B4D90A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27" name="Picture">
          <a:extLst>
            <a:ext uri="{FF2B5EF4-FFF2-40B4-BE49-F238E27FC236}">
              <a16:creationId xmlns:a16="http://schemas.microsoft.com/office/drawing/2014/main" id="{C6402635-57B5-461E-B4CF-121B453E28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3502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28" name="Picture">
          <a:extLst>
            <a:ext uri="{FF2B5EF4-FFF2-40B4-BE49-F238E27FC236}">
              <a16:creationId xmlns:a16="http://schemas.microsoft.com/office/drawing/2014/main" id="{17BEA771-30BC-4CE8-847E-8A0D17EDA9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29" name="Picture">
          <a:extLst>
            <a:ext uri="{FF2B5EF4-FFF2-40B4-BE49-F238E27FC236}">
              <a16:creationId xmlns:a16="http://schemas.microsoft.com/office/drawing/2014/main" id="{6059815A-900A-4C8B-B026-2024E45816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30" name="Picture">
          <a:extLst>
            <a:ext uri="{FF2B5EF4-FFF2-40B4-BE49-F238E27FC236}">
              <a16:creationId xmlns:a16="http://schemas.microsoft.com/office/drawing/2014/main" id="{178CE8FB-7D46-439B-914F-ABA27FCA23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31" name="Picture">
          <a:extLst>
            <a:ext uri="{FF2B5EF4-FFF2-40B4-BE49-F238E27FC236}">
              <a16:creationId xmlns:a16="http://schemas.microsoft.com/office/drawing/2014/main" id="{B82AEECC-414A-4CB5-BFA5-3ED8FF52949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32" name="Picture">
          <a:extLst>
            <a:ext uri="{FF2B5EF4-FFF2-40B4-BE49-F238E27FC236}">
              <a16:creationId xmlns:a16="http://schemas.microsoft.com/office/drawing/2014/main" id="{90B98624-C11A-428D-80E8-FA0AE8F741B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33" name="Picture">
          <a:extLst>
            <a:ext uri="{FF2B5EF4-FFF2-40B4-BE49-F238E27FC236}">
              <a16:creationId xmlns:a16="http://schemas.microsoft.com/office/drawing/2014/main" id="{51A02766-FA95-42DE-A608-83EE733A22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34" name="Picture">
          <a:extLst>
            <a:ext uri="{FF2B5EF4-FFF2-40B4-BE49-F238E27FC236}">
              <a16:creationId xmlns:a16="http://schemas.microsoft.com/office/drawing/2014/main" id="{11CD20B8-E491-421A-B51C-309B07578C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8531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363220</xdr:colOff>
      <xdr:row>9</xdr:row>
      <xdr:rowOff>238760</xdr:rowOff>
    </xdr:to>
    <xdr:pic>
      <xdr:nvPicPr>
        <xdr:cNvPr id="35" name="Picture">
          <a:extLst>
            <a:ext uri="{FF2B5EF4-FFF2-40B4-BE49-F238E27FC236}">
              <a16:creationId xmlns:a16="http://schemas.microsoft.com/office/drawing/2014/main" id="{3DE94960-D1D1-41EF-9FA5-D9DFC94DAE6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8531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36" name="Picture">
          <a:extLst>
            <a:ext uri="{FF2B5EF4-FFF2-40B4-BE49-F238E27FC236}">
              <a16:creationId xmlns:a16="http://schemas.microsoft.com/office/drawing/2014/main" id="{6CAEE128-6271-4421-9791-2ABC1E9AFE9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8531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37" name="Picture">
          <a:extLst>
            <a:ext uri="{FF2B5EF4-FFF2-40B4-BE49-F238E27FC236}">
              <a16:creationId xmlns:a16="http://schemas.microsoft.com/office/drawing/2014/main" id="{D3584B33-8BFE-4F32-8E14-5D1F691A3BA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8531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38" name="Picture">
          <a:extLst>
            <a:ext uri="{FF2B5EF4-FFF2-40B4-BE49-F238E27FC236}">
              <a16:creationId xmlns:a16="http://schemas.microsoft.com/office/drawing/2014/main" id="{1D1C58BC-FFD5-4316-A59F-26F1DFE147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8531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39" name="Picture">
          <a:extLst>
            <a:ext uri="{FF2B5EF4-FFF2-40B4-BE49-F238E27FC236}">
              <a16:creationId xmlns:a16="http://schemas.microsoft.com/office/drawing/2014/main" id="{FA00FDDC-14DF-4453-877F-045C116F55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8531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0" name="Picture">
          <a:extLst>
            <a:ext uri="{FF2B5EF4-FFF2-40B4-BE49-F238E27FC236}">
              <a16:creationId xmlns:a16="http://schemas.microsoft.com/office/drawing/2014/main" id="{891965BF-4E2C-45B2-8041-2A0C555F66F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046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363220</xdr:colOff>
      <xdr:row>10</xdr:row>
      <xdr:rowOff>226060</xdr:rowOff>
    </xdr:to>
    <xdr:pic>
      <xdr:nvPicPr>
        <xdr:cNvPr id="41" name="Picture">
          <a:extLst>
            <a:ext uri="{FF2B5EF4-FFF2-40B4-BE49-F238E27FC236}">
              <a16:creationId xmlns:a16="http://schemas.microsoft.com/office/drawing/2014/main" id="{3CC3670D-A7BC-48A2-B162-E52258D1FDB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1046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2" name="Picture">
          <a:extLst>
            <a:ext uri="{FF2B5EF4-FFF2-40B4-BE49-F238E27FC236}">
              <a16:creationId xmlns:a16="http://schemas.microsoft.com/office/drawing/2014/main" id="{7667529F-2055-4BFD-A5A3-100277B8B7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046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3" name="Picture">
          <a:extLst>
            <a:ext uri="{FF2B5EF4-FFF2-40B4-BE49-F238E27FC236}">
              <a16:creationId xmlns:a16="http://schemas.microsoft.com/office/drawing/2014/main" id="{8DE9BF86-B110-43FF-ADCB-643CBDF34C6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046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4" name="Picture">
          <a:extLst>
            <a:ext uri="{FF2B5EF4-FFF2-40B4-BE49-F238E27FC236}">
              <a16:creationId xmlns:a16="http://schemas.microsoft.com/office/drawing/2014/main" id="{1B84F457-4750-4E62-B0E4-5445E7825A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046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5" name="Picture">
          <a:extLst>
            <a:ext uri="{FF2B5EF4-FFF2-40B4-BE49-F238E27FC236}">
              <a16:creationId xmlns:a16="http://schemas.microsoft.com/office/drawing/2014/main" id="{4E613B9E-DB2B-4358-8A60-8D45C5FFC79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046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6" name="Picture">
          <a:extLst>
            <a:ext uri="{FF2B5EF4-FFF2-40B4-BE49-F238E27FC236}">
              <a16:creationId xmlns:a16="http://schemas.microsoft.com/office/drawing/2014/main" id="{5BD789B5-3512-45C6-97DF-95C739760B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363220</xdr:colOff>
      <xdr:row>10</xdr:row>
      <xdr:rowOff>226060</xdr:rowOff>
    </xdr:to>
    <xdr:pic>
      <xdr:nvPicPr>
        <xdr:cNvPr id="47" name="Picture">
          <a:extLst>
            <a:ext uri="{FF2B5EF4-FFF2-40B4-BE49-F238E27FC236}">
              <a16:creationId xmlns:a16="http://schemas.microsoft.com/office/drawing/2014/main" id="{9AB535B2-EE68-4A20-A2B1-91DCE55F2C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8" name="Picture">
          <a:extLst>
            <a:ext uri="{FF2B5EF4-FFF2-40B4-BE49-F238E27FC236}">
              <a16:creationId xmlns:a16="http://schemas.microsoft.com/office/drawing/2014/main" id="{2E0A791A-6281-4FED-ACD6-C4E922A991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49" name="Picture">
          <a:extLst>
            <a:ext uri="{FF2B5EF4-FFF2-40B4-BE49-F238E27FC236}">
              <a16:creationId xmlns:a16="http://schemas.microsoft.com/office/drawing/2014/main" id="{F005D9C2-CF9B-4262-8F27-168DB40AF4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0" name="Picture">
          <a:extLst>
            <a:ext uri="{FF2B5EF4-FFF2-40B4-BE49-F238E27FC236}">
              <a16:creationId xmlns:a16="http://schemas.microsoft.com/office/drawing/2014/main" id="{CD658099-23AB-4D61-A16E-7287E0DC60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1" name="Picture">
          <a:extLst>
            <a:ext uri="{FF2B5EF4-FFF2-40B4-BE49-F238E27FC236}">
              <a16:creationId xmlns:a16="http://schemas.microsoft.com/office/drawing/2014/main" id="{DF8343E9-7C41-4C88-A9F4-B7406FB6CE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3561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2" name="Picture">
          <a:extLst>
            <a:ext uri="{FF2B5EF4-FFF2-40B4-BE49-F238E27FC236}">
              <a16:creationId xmlns:a16="http://schemas.microsoft.com/office/drawing/2014/main" id="{6773DF29-8C86-4EDF-8F8A-4A4D8E7D05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075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363220</xdr:colOff>
      <xdr:row>10</xdr:row>
      <xdr:rowOff>226060</xdr:rowOff>
    </xdr:to>
    <xdr:pic>
      <xdr:nvPicPr>
        <xdr:cNvPr id="53" name="Picture">
          <a:extLst>
            <a:ext uri="{FF2B5EF4-FFF2-40B4-BE49-F238E27FC236}">
              <a16:creationId xmlns:a16="http://schemas.microsoft.com/office/drawing/2014/main" id="{BCDFB209-2D46-41D2-8174-F41A0F901A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075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4" name="Picture">
          <a:extLst>
            <a:ext uri="{FF2B5EF4-FFF2-40B4-BE49-F238E27FC236}">
              <a16:creationId xmlns:a16="http://schemas.microsoft.com/office/drawing/2014/main" id="{4C2152FE-4089-437E-9826-11D76558A8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075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5" name="Picture">
          <a:extLst>
            <a:ext uri="{FF2B5EF4-FFF2-40B4-BE49-F238E27FC236}">
              <a16:creationId xmlns:a16="http://schemas.microsoft.com/office/drawing/2014/main" id="{326920AC-7C54-4F92-A1E1-7F8E51A050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6075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6" name="Picture">
          <a:extLst>
            <a:ext uri="{FF2B5EF4-FFF2-40B4-BE49-F238E27FC236}">
              <a16:creationId xmlns:a16="http://schemas.microsoft.com/office/drawing/2014/main" id="{E81A28C5-B05E-4665-8F7F-C18306A737A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6075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25</xdr:col>
      <xdr:colOff>370840</xdr:colOff>
      <xdr:row>10</xdr:row>
      <xdr:rowOff>226060</xdr:rowOff>
    </xdr:to>
    <xdr:pic>
      <xdr:nvPicPr>
        <xdr:cNvPr id="57" name="Picture">
          <a:extLst>
            <a:ext uri="{FF2B5EF4-FFF2-40B4-BE49-F238E27FC236}">
              <a16:creationId xmlns:a16="http://schemas.microsoft.com/office/drawing/2014/main" id="{47FBA3DD-AE98-4064-8948-6A14E2E2B3E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6075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58" name="Picture">
          <a:extLst>
            <a:ext uri="{FF2B5EF4-FFF2-40B4-BE49-F238E27FC236}">
              <a16:creationId xmlns:a16="http://schemas.microsoft.com/office/drawing/2014/main" id="{DFC22993-F7EE-46F4-854B-7BBFC60256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363220</xdr:colOff>
      <xdr:row>10</xdr:row>
      <xdr:rowOff>238760</xdr:rowOff>
    </xdr:to>
    <xdr:pic>
      <xdr:nvPicPr>
        <xdr:cNvPr id="59" name="Picture">
          <a:extLst>
            <a:ext uri="{FF2B5EF4-FFF2-40B4-BE49-F238E27FC236}">
              <a16:creationId xmlns:a16="http://schemas.microsoft.com/office/drawing/2014/main" id="{C0580035-DE1C-4043-BDF2-B83F5A715F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60" name="Picture">
          <a:extLst>
            <a:ext uri="{FF2B5EF4-FFF2-40B4-BE49-F238E27FC236}">
              <a16:creationId xmlns:a16="http://schemas.microsoft.com/office/drawing/2014/main" id="{4DF9D013-3B08-423C-BE7F-611ACE1464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61" name="Picture">
          <a:extLst>
            <a:ext uri="{FF2B5EF4-FFF2-40B4-BE49-F238E27FC236}">
              <a16:creationId xmlns:a16="http://schemas.microsoft.com/office/drawing/2014/main" id="{744A8D84-D018-41FE-BB0E-8B3FD7EE89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62" name="Picture">
          <a:extLst>
            <a:ext uri="{FF2B5EF4-FFF2-40B4-BE49-F238E27FC236}">
              <a16:creationId xmlns:a16="http://schemas.microsoft.com/office/drawing/2014/main" id="{48F5C3E2-6711-495E-8582-17DA1E13C23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63" name="Picture">
          <a:extLst>
            <a:ext uri="{FF2B5EF4-FFF2-40B4-BE49-F238E27FC236}">
              <a16:creationId xmlns:a16="http://schemas.microsoft.com/office/drawing/2014/main" id="{9165D15D-B1B1-4797-AF54-EE66A14A00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8590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64" name="Picture">
          <a:extLst>
            <a:ext uri="{FF2B5EF4-FFF2-40B4-BE49-F238E27FC236}">
              <a16:creationId xmlns:a16="http://schemas.microsoft.com/office/drawing/2014/main" id="{6CD77CFB-95A7-47C0-A729-84FAA35A70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1104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65" name="Picture">
          <a:extLst>
            <a:ext uri="{FF2B5EF4-FFF2-40B4-BE49-F238E27FC236}">
              <a16:creationId xmlns:a16="http://schemas.microsoft.com/office/drawing/2014/main" id="{CC7B42A0-6F7A-4D0F-8BD4-453857F377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1104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66" name="Picture">
          <a:extLst>
            <a:ext uri="{FF2B5EF4-FFF2-40B4-BE49-F238E27FC236}">
              <a16:creationId xmlns:a16="http://schemas.microsoft.com/office/drawing/2014/main" id="{217DF5BE-5DF7-4F1B-BC59-BA43DC9B30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134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67" name="Picture">
          <a:extLst>
            <a:ext uri="{FF2B5EF4-FFF2-40B4-BE49-F238E27FC236}">
              <a16:creationId xmlns:a16="http://schemas.microsoft.com/office/drawing/2014/main" id="{1D79D656-5D4A-46F9-9DA0-FBA9576E213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134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68" name="Picture">
          <a:extLst>
            <a:ext uri="{FF2B5EF4-FFF2-40B4-BE49-F238E27FC236}">
              <a16:creationId xmlns:a16="http://schemas.microsoft.com/office/drawing/2014/main" id="{84CA0677-DCCF-4442-97CD-9E8C50B2088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134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69" name="Picture">
          <a:extLst>
            <a:ext uri="{FF2B5EF4-FFF2-40B4-BE49-F238E27FC236}">
              <a16:creationId xmlns:a16="http://schemas.microsoft.com/office/drawing/2014/main" id="{DAFFD16C-BBF8-4A89-B95B-0D449C8239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134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0" name="Picture">
          <a:extLst>
            <a:ext uri="{FF2B5EF4-FFF2-40B4-BE49-F238E27FC236}">
              <a16:creationId xmlns:a16="http://schemas.microsoft.com/office/drawing/2014/main" id="{3BC9A68E-083A-4964-964C-62EDE0D9541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134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1" name="Picture">
          <a:extLst>
            <a:ext uri="{FF2B5EF4-FFF2-40B4-BE49-F238E27FC236}">
              <a16:creationId xmlns:a16="http://schemas.microsoft.com/office/drawing/2014/main" id="{1DA6852B-1DC8-4755-9B5C-EC8A315D59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8648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72" name="Picture">
          <a:extLst>
            <a:ext uri="{FF2B5EF4-FFF2-40B4-BE49-F238E27FC236}">
              <a16:creationId xmlns:a16="http://schemas.microsoft.com/office/drawing/2014/main" id="{D94E82A5-5D66-418F-B90E-7EC7E01EAB4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8648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3" name="Picture">
          <a:extLst>
            <a:ext uri="{FF2B5EF4-FFF2-40B4-BE49-F238E27FC236}">
              <a16:creationId xmlns:a16="http://schemas.microsoft.com/office/drawing/2014/main" id="{8EDCBBFF-E10D-47B7-B75C-919C3C7E89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8648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4" name="Picture">
          <a:extLst>
            <a:ext uri="{FF2B5EF4-FFF2-40B4-BE49-F238E27FC236}">
              <a16:creationId xmlns:a16="http://schemas.microsoft.com/office/drawing/2014/main" id="{B12F0131-9EFE-4879-852E-F71B53B628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8648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5" name="Picture">
          <a:extLst>
            <a:ext uri="{FF2B5EF4-FFF2-40B4-BE49-F238E27FC236}">
              <a16:creationId xmlns:a16="http://schemas.microsoft.com/office/drawing/2014/main" id="{563C60BF-203F-4B25-A7B8-C7EDC48520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8648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6" name="Picture">
          <a:extLst>
            <a:ext uri="{FF2B5EF4-FFF2-40B4-BE49-F238E27FC236}">
              <a16:creationId xmlns:a16="http://schemas.microsoft.com/office/drawing/2014/main" id="{37BE758D-F40F-4B3A-BB4E-DB8E2EC0361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77" name="Picture">
          <a:extLst>
            <a:ext uri="{FF2B5EF4-FFF2-40B4-BE49-F238E27FC236}">
              <a16:creationId xmlns:a16="http://schemas.microsoft.com/office/drawing/2014/main" id="{2631E16E-F01A-4CB9-9381-5EB6B40EC3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8" name="Picture">
          <a:extLst>
            <a:ext uri="{FF2B5EF4-FFF2-40B4-BE49-F238E27FC236}">
              <a16:creationId xmlns:a16="http://schemas.microsoft.com/office/drawing/2014/main" id="{BC78E576-1F6C-4772-B1E6-3CB20DCE7F9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79" name="Picture">
          <a:extLst>
            <a:ext uri="{FF2B5EF4-FFF2-40B4-BE49-F238E27FC236}">
              <a16:creationId xmlns:a16="http://schemas.microsoft.com/office/drawing/2014/main" id="{103CACAA-249A-42DB-B5DF-04D5080363D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0" name="Picture">
          <a:extLst>
            <a:ext uri="{FF2B5EF4-FFF2-40B4-BE49-F238E27FC236}">
              <a16:creationId xmlns:a16="http://schemas.microsoft.com/office/drawing/2014/main" id="{F9B4380A-3FCC-4342-8437-734DE010A2E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1" name="Picture">
          <a:extLst>
            <a:ext uri="{FF2B5EF4-FFF2-40B4-BE49-F238E27FC236}">
              <a16:creationId xmlns:a16="http://schemas.microsoft.com/office/drawing/2014/main" id="{F10E1BE6-8591-4A89-8065-933FEBA9D1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116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2" name="Picture">
          <a:extLst>
            <a:ext uri="{FF2B5EF4-FFF2-40B4-BE49-F238E27FC236}">
              <a16:creationId xmlns:a16="http://schemas.microsoft.com/office/drawing/2014/main" id="{30CC4EF3-A4F3-4761-AC48-1F87577637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367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83" name="Picture">
          <a:extLst>
            <a:ext uri="{FF2B5EF4-FFF2-40B4-BE49-F238E27FC236}">
              <a16:creationId xmlns:a16="http://schemas.microsoft.com/office/drawing/2014/main" id="{9845BD52-037B-4C29-B9B2-C926D90A6A5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3677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4" name="Picture">
          <a:extLst>
            <a:ext uri="{FF2B5EF4-FFF2-40B4-BE49-F238E27FC236}">
              <a16:creationId xmlns:a16="http://schemas.microsoft.com/office/drawing/2014/main" id="{12A9A286-EDD7-4CCB-9372-18DCF013F4B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367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5" name="Picture">
          <a:extLst>
            <a:ext uri="{FF2B5EF4-FFF2-40B4-BE49-F238E27FC236}">
              <a16:creationId xmlns:a16="http://schemas.microsoft.com/office/drawing/2014/main" id="{C92BBD93-5533-43AC-BDC1-CBD1516033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367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6" name="Picture">
          <a:extLst>
            <a:ext uri="{FF2B5EF4-FFF2-40B4-BE49-F238E27FC236}">
              <a16:creationId xmlns:a16="http://schemas.microsoft.com/office/drawing/2014/main" id="{111504AA-C564-409B-A9CD-E369C39C39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367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7" name="Picture">
          <a:extLst>
            <a:ext uri="{FF2B5EF4-FFF2-40B4-BE49-F238E27FC236}">
              <a16:creationId xmlns:a16="http://schemas.microsoft.com/office/drawing/2014/main" id="{9912B4E8-6190-4FCE-9902-1731FD90BCC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619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88" name="Picture">
          <a:extLst>
            <a:ext uri="{FF2B5EF4-FFF2-40B4-BE49-F238E27FC236}">
              <a16:creationId xmlns:a16="http://schemas.microsoft.com/office/drawing/2014/main" id="{DF71552E-0248-4105-96F0-96741A72AF2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66192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89" name="Picture">
          <a:extLst>
            <a:ext uri="{FF2B5EF4-FFF2-40B4-BE49-F238E27FC236}">
              <a16:creationId xmlns:a16="http://schemas.microsoft.com/office/drawing/2014/main" id="{E86995DB-6359-4519-9D3E-F12AF3E9D6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619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0" name="Picture">
          <a:extLst>
            <a:ext uri="{FF2B5EF4-FFF2-40B4-BE49-F238E27FC236}">
              <a16:creationId xmlns:a16="http://schemas.microsoft.com/office/drawing/2014/main" id="{B6ABD44D-EE8B-4A3F-A316-C96333D121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619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1" name="Picture">
          <a:extLst>
            <a:ext uri="{FF2B5EF4-FFF2-40B4-BE49-F238E27FC236}">
              <a16:creationId xmlns:a16="http://schemas.microsoft.com/office/drawing/2014/main" id="{73143919-45FA-4986-AEEE-4CBC6C6036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619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2" name="Picture">
          <a:extLst>
            <a:ext uri="{FF2B5EF4-FFF2-40B4-BE49-F238E27FC236}">
              <a16:creationId xmlns:a16="http://schemas.microsoft.com/office/drawing/2014/main" id="{DC6F5239-CBEA-4025-ABF7-6CD4DE0A3AC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619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3" name="Picture">
          <a:extLst>
            <a:ext uri="{FF2B5EF4-FFF2-40B4-BE49-F238E27FC236}">
              <a16:creationId xmlns:a16="http://schemas.microsoft.com/office/drawing/2014/main" id="{217CC376-FC67-4F1A-9376-9591D0CE45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363220</xdr:colOff>
      <xdr:row>11</xdr:row>
      <xdr:rowOff>226060</xdr:rowOff>
    </xdr:to>
    <xdr:pic>
      <xdr:nvPicPr>
        <xdr:cNvPr id="94" name="Picture">
          <a:extLst>
            <a:ext uri="{FF2B5EF4-FFF2-40B4-BE49-F238E27FC236}">
              <a16:creationId xmlns:a16="http://schemas.microsoft.com/office/drawing/2014/main" id="{3E9B0AAB-5D93-45DF-8796-43CD6AB063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5" name="Picture">
          <a:extLst>
            <a:ext uri="{FF2B5EF4-FFF2-40B4-BE49-F238E27FC236}">
              <a16:creationId xmlns:a16="http://schemas.microsoft.com/office/drawing/2014/main" id="{17E49B51-FAAA-4F20-95D4-6B1F04EBB4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6" name="Picture">
          <a:extLst>
            <a:ext uri="{FF2B5EF4-FFF2-40B4-BE49-F238E27FC236}">
              <a16:creationId xmlns:a16="http://schemas.microsoft.com/office/drawing/2014/main" id="{A4801CE3-1BE4-4009-A392-D610343AF9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7" name="Picture">
          <a:extLst>
            <a:ext uri="{FF2B5EF4-FFF2-40B4-BE49-F238E27FC236}">
              <a16:creationId xmlns:a16="http://schemas.microsoft.com/office/drawing/2014/main" id="{5C4017D0-0C99-42DB-B9F2-FB1E9535AF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0</xdr:rowOff>
    </xdr:from>
    <xdr:to>
      <xdr:col>25</xdr:col>
      <xdr:colOff>370840</xdr:colOff>
      <xdr:row>11</xdr:row>
      <xdr:rowOff>226060</xdr:rowOff>
    </xdr:to>
    <xdr:pic>
      <xdr:nvPicPr>
        <xdr:cNvPr id="98" name="Picture">
          <a:extLst>
            <a:ext uri="{FF2B5EF4-FFF2-40B4-BE49-F238E27FC236}">
              <a16:creationId xmlns:a16="http://schemas.microsoft.com/office/drawing/2014/main" id="{B240AE32-5D91-4F89-B57E-54B228D019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870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99" name="Picture">
          <a:extLst>
            <a:ext uri="{FF2B5EF4-FFF2-40B4-BE49-F238E27FC236}">
              <a16:creationId xmlns:a16="http://schemas.microsoft.com/office/drawing/2014/main" id="{6681CBBE-E8AC-4ADC-9F29-CD297EE4A1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363220</xdr:colOff>
      <xdr:row>11</xdr:row>
      <xdr:rowOff>238760</xdr:rowOff>
    </xdr:to>
    <xdr:pic>
      <xdr:nvPicPr>
        <xdr:cNvPr id="100" name="Picture">
          <a:extLst>
            <a:ext uri="{FF2B5EF4-FFF2-40B4-BE49-F238E27FC236}">
              <a16:creationId xmlns:a16="http://schemas.microsoft.com/office/drawing/2014/main" id="{B9727D85-D403-45B0-AB1A-7AFF68B9CF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01" name="Picture">
          <a:extLst>
            <a:ext uri="{FF2B5EF4-FFF2-40B4-BE49-F238E27FC236}">
              <a16:creationId xmlns:a16="http://schemas.microsoft.com/office/drawing/2014/main" id="{37C66892-4E16-4151-BE21-D2499EFDF84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02" name="Picture">
          <a:extLst>
            <a:ext uri="{FF2B5EF4-FFF2-40B4-BE49-F238E27FC236}">
              <a16:creationId xmlns:a16="http://schemas.microsoft.com/office/drawing/2014/main" id="{A5C42699-ECEC-4F4F-8048-341EA99F4B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03" name="Picture">
          <a:extLst>
            <a:ext uri="{FF2B5EF4-FFF2-40B4-BE49-F238E27FC236}">
              <a16:creationId xmlns:a16="http://schemas.microsoft.com/office/drawing/2014/main" id="{B2565D00-9105-49EC-9CA9-75B84D7B3C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11</xdr:row>
      <xdr:rowOff>12700</xdr:rowOff>
    </xdr:from>
    <xdr:to>
      <xdr:col>25</xdr:col>
      <xdr:colOff>370840</xdr:colOff>
      <xdr:row>11</xdr:row>
      <xdr:rowOff>238760</xdr:rowOff>
    </xdr:to>
    <xdr:pic>
      <xdr:nvPicPr>
        <xdr:cNvPr id="104" name="Picture">
          <a:extLst>
            <a:ext uri="{FF2B5EF4-FFF2-40B4-BE49-F238E27FC236}">
              <a16:creationId xmlns:a16="http://schemas.microsoft.com/office/drawing/2014/main" id="{E909E143-D4EB-4EAF-9A47-42D47FFBB8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122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05" name="Picture">
          <a:extLst>
            <a:ext uri="{FF2B5EF4-FFF2-40B4-BE49-F238E27FC236}">
              <a16:creationId xmlns:a16="http://schemas.microsoft.com/office/drawing/2014/main" id="{F1C90336-5475-4807-AD6F-FD54DEE84A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363220</xdr:colOff>
      <xdr:row>12</xdr:row>
      <xdr:rowOff>226060</xdr:rowOff>
    </xdr:to>
    <xdr:pic>
      <xdr:nvPicPr>
        <xdr:cNvPr id="106" name="Picture">
          <a:extLst>
            <a:ext uri="{FF2B5EF4-FFF2-40B4-BE49-F238E27FC236}">
              <a16:creationId xmlns:a16="http://schemas.microsoft.com/office/drawing/2014/main" id="{A8D24472-0C50-48AB-8B0A-6C52D6CD96B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07" name="Picture">
          <a:extLst>
            <a:ext uri="{FF2B5EF4-FFF2-40B4-BE49-F238E27FC236}">
              <a16:creationId xmlns:a16="http://schemas.microsoft.com/office/drawing/2014/main" id="{1C2DEBE3-8FF3-4443-B4AF-757BDE007B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08" name="Picture">
          <a:extLst>
            <a:ext uri="{FF2B5EF4-FFF2-40B4-BE49-F238E27FC236}">
              <a16:creationId xmlns:a16="http://schemas.microsoft.com/office/drawing/2014/main" id="{CF5F663D-CCF4-40E0-BEE1-E226EC42E66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09" name="Picture">
          <a:extLst>
            <a:ext uri="{FF2B5EF4-FFF2-40B4-BE49-F238E27FC236}">
              <a16:creationId xmlns:a16="http://schemas.microsoft.com/office/drawing/2014/main" id="{0D3750F2-4321-4213-84B0-5A6CF2B4BE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0" name="Picture">
          <a:extLst>
            <a:ext uri="{FF2B5EF4-FFF2-40B4-BE49-F238E27FC236}">
              <a16:creationId xmlns:a16="http://schemas.microsoft.com/office/drawing/2014/main" id="{15125250-FC77-4F09-ACE4-3342BF7926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373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1" name="Picture">
          <a:extLst>
            <a:ext uri="{FF2B5EF4-FFF2-40B4-BE49-F238E27FC236}">
              <a16:creationId xmlns:a16="http://schemas.microsoft.com/office/drawing/2014/main" id="{3107DAA2-8F16-4AE1-9CB0-9CE9F8B5BB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363220</xdr:colOff>
      <xdr:row>12</xdr:row>
      <xdr:rowOff>226060</xdr:rowOff>
    </xdr:to>
    <xdr:pic>
      <xdr:nvPicPr>
        <xdr:cNvPr id="112" name="Picture">
          <a:extLst>
            <a:ext uri="{FF2B5EF4-FFF2-40B4-BE49-F238E27FC236}">
              <a16:creationId xmlns:a16="http://schemas.microsoft.com/office/drawing/2014/main" id="{8A24E84F-7084-4879-8C9A-71EAAA8F86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3" name="Picture">
          <a:extLst>
            <a:ext uri="{FF2B5EF4-FFF2-40B4-BE49-F238E27FC236}">
              <a16:creationId xmlns:a16="http://schemas.microsoft.com/office/drawing/2014/main" id="{3A48766B-E8B5-41E5-9C79-1B7FD7D069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4" name="Picture">
          <a:extLst>
            <a:ext uri="{FF2B5EF4-FFF2-40B4-BE49-F238E27FC236}">
              <a16:creationId xmlns:a16="http://schemas.microsoft.com/office/drawing/2014/main" id="{93CF6ACC-62B0-4C9E-8DC3-41650E6E3F5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5" name="Picture">
          <a:extLst>
            <a:ext uri="{FF2B5EF4-FFF2-40B4-BE49-F238E27FC236}">
              <a16:creationId xmlns:a16="http://schemas.microsoft.com/office/drawing/2014/main" id="{F1AF39C9-3702-4571-9A8D-06B6D06E46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0</xdr:rowOff>
    </xdr:from>
    <xdr:to>
      <xdr:col>25</xdr:col>
      <xdr:colOff>370840</xdr:colOff>
      <xdr:row>12</xdr:row>
      <xdr:rowOff>226060</xdr:rowOff>
    </xdr:to>
    <xdr:pic>
      <xdr:nvPicPr>
        <xdr:cNvPr id="116" name="Picture">
          <a:extLst>
            <a:ext uri="{FF2B5EF4-FFF2-40B4-BE49-F238E27FC236}">
              <a16:creationId xmlns:a16="http://schemas.microsoft.com/office/drawing/2014/main" id="{F65665A0-C122-44E2-ABA2-A91B470320F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625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370840</xdr:colOff>
      <xdr:row>12</xdr:row>
      <xdr:rowOff>238760</xdr:rowOff>
    </xdr:to>
    <xdr:pic>
      <xdr:nvPicPr>
        <xdr:cNvPr id="117" name="Picture">
          <a:extLst>
            <a:ext uri="{FF2B5EF4-FFF2-40B4-BE49-F238E27FC236}">
              <a16:creationId xmlns:a16="http://schemas.microsoft.com/office/drawing/2014/main" id="{8BD306FF-253B-405D-A692-FF7EBB28AB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363220</xdr:colOff>
      <xdr:row>12</xdr:row>
      <xdr:rowOff>238760</xdr:rowOff>
    </xdr:to>
    <xdr:pic>
      <xdr:nvPicPr>
        <xdr:cNvPr id="118" name="Picture">
          <a:extLst>
            <a:ext uri="{FF2B5EF4-FFF2-40B4-BE49-F238E27FC236}">
              <a16:creationId xmlns:a16="http://schemas.microsoft.com/office/drawing/2014/main" id="{D4291872-75A5-4788-9C1F-E53C0DCB110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370840</xdr:colOff>
      <xdr:row>12</xdr:row>
      <xdr:rowOff>238760</xdr:rowOff>
    </xdr:to>
    <xdr:pic>
      <xdr:nvPicPr>
        <xdr:cNvPr id="119" name="Picture">
          <a:extLst>
            <a:ext uri="{FF2B5EF4-FFF2-40B4-BE49-F238E27FC236}">
              <a16:creationId xmlns:a16="http://schemas.microsoft.com/office/drawing/2014/main" id="{A9206B47-8A98-4034-A11B-5128DFCAA35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370840</xdr:colOff>
      <xdr:row>12</xdr:row>
      <xdr:rowOff>238760</xdr:rowOff>
    </xdr:to>
    <xdr:pic>
      <xdr:nvPicPr>
        <xdr:cNvPr id="120" name="Picture">
          <a:extLst>
            <a:ext uri="{FF2B5EF4-FFF2-40B4-BE49-F238E27FC236}">
              <a16:creationId xmlns:a16="http://schemas.microsoft.com/office/drawing/2014/main" id="{C38CF2F6-623B-4002-A4D8-1109D51087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370840</xdr:colOff>
      <xdr:row>12</xdr:row>
      <xdr:rowOff>238760</xdr:rowOff>
    </xdr:to>
    <xdr:pic>
      <xdr:nvPicPr>
        <xdr:cNvPr id="121" name="Picture">
          <a:extLst>
            <a:ext uri="{FF2B5EF4-FFF2-40B4-BE49-F238E27FC236}">
              <a16:creationId xmlns:a16="http://schemas.microsoft.com/office/drawing/2014/main" id="{B76138A3-D596-4162-AB83-FBD2FAC494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</xdr:row>
      <xdr:rowOff>12700</xdr:rowOff>
    </xdr:from>
    <xdr:to>
      <xdr:col>25</xdr:col>
      <xdr:colOff>370840</xdr:colOff>
      <xdr:row>12</xdr:row>
      <xdr:rowOff>238760</xdr:rowOff>
    </xdr:to>
    <xdr:pic>
      <xdr:nvPicPr>
        <xdr:cNvPr id="122" name="Picture">
          <a:extLst>
            <a:ext uri="{FF2B5EF4-FFF2-40B4-BE49-F238E27FC236}">
              <a16:creationId xmlns:a16="http://schemas.microsoft.com/office/drawing/2014/main" id="{0ABF9550-BADB-43F9-986B-BBA5B4AFBC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876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370840</xdr:colOff>
      <xdr:row>7</xdr:row>
      <xdr:rowOff>226060</xdr:rowOff>
    </xdr:to>
    <xdr:pic>
      <xdr:nvPicPr>
        <xdr:cNvPr id="123" name="Picture">
          <a:extLst>
            <a:ext uri="{FF2B5EF4-FFF2-40B4-BE49-F238E27FC236}">
              <a16:creationId xmlns:a16="http://schemas.microsoft.com/office/drawing/2014/main" id="{4AB01172-CB0F-473C-A5F8-A5FDCA876FA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89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24" name="Picture">
          <a:extLst>
            <a:ext uri="{FF2B5EF4-FFF2-40B4-BE49-F238E27FC236}">
              <a16:creationId xmlns:a16="http://schemas.microsoft.com/office/drawing/2014/main" id="{59F6C631-7E3D-4370-9B85-28B78028B0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01720"/>
          <a:ext cx="980440" cy="226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12700</xdr:rowOff>
    </xdr:from>
    <xdr:to>
      <xdr:col>25</xdr:col>
      <xdr:colOff>370840</xdr:colOff>
      <xdr:row>2</xdr:row>
      <xdr:rowOff>238760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81CF39B-52A9-48EA-BCF9-8BF1DB9623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19253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12700</xdr:rowOff>
    </xdr:from>
    <xdr:to>
      <xdr:col>25</xdr:col>
      <xdr:colOff>363220</xdr:colOff>
      <xdr:row>2</xdr:row>
      <xdr:rowOff>238760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5EBA781-36CD-4F42-9317-12E6E8D711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19253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4" name="Picture">
          <a:extLst>
            <a:ext uri="{FF2B5EF4-FFF2-40B4-BE49-F238E27FC236}">
              <a16:creationId xmlns:a16="http://schemas.microsoft.com/office/drawing/2014/main" id="{6327C054-1A60-4334-A093-0B05227A348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363220</xdr:colOff>
      <xdr:row>3</xdr:row>
      <xdr:rowOff>226060</xdr:rowOff>
    </xdr:to>
    <xdr:pic>
      <xdr:nvPicPr>
        <xdr:cNvPr id="5" name="Picture">
          <a:extLst>
            <a:ext uri="{FF2B5EF4-FFF2-40B4-BE49-F238E27FC236}">
              <a16:creationId xmlns:a16="http://schemas.microsoft.com/office/drawing/2014/main" id="{85FBD9C2-CCC7-41AD-A88F-FAC55C4490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6" name="Picture">
          <a:extLst>
            <a:ext uri="{FF2B5EF4-FFF2-40B4-BE49-F238E27FC236}">
              <a16:creationId xmlns:a16="http://schemas.microsoft.com/office/drawing/2014/main" id="{795973D9-3414-4380-9E91-3C818472C1A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7" name="Picture">
          <a:extLst>
            <a:ext uri="{FF2B5EF4-FFF2-40B4-BE49-F238E27FC236}">
              <a16:creationId xmlns:a16="http://schemas.microsoft.com/office/drawing/2014/main" id="{6E425106-78CE-4EA2-98F5-A55782393E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8" name="Picture">
          <a:extLst>
            <a:ext uri="{FF2B5EF4-FFF2-40B4-BE49-F238E27FC236}">
              <a16:creationId xmlns:a16="http://schemas.microsoft.com/office/drawing/2014/main" id="{3A4236B1-3139-4868-A884-DD8C6FF46B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1767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9" name="Picture">
          <a:extLst>
            <a:ext uri="{FF2B5EF4-FFF2-40B4-BE49-F238E27FC236}">
              <a16:creationId xmlns:a16="http://schemas.microsoft.com/office/drawing/2014/main" id="{999A67AB-6FB4-4419-A709-401384913B9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4282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363220</xdr:colOff>
      <xdr:row>3</xdr:row>
      <xdr:rowOff>226060</xdr:rowOff>
    </xdr:to>
    <xdr:pic>
      <xdr:nvPicPr>
        <xdr:cNvPr id="10" name="Picture">
          <a:extLst>
            <a:ext uri="{FF2B5EF4-FFF2-40B4-BE49-F238E27FC236}">
              <a16:creationId xmlns:a16="http://schemas.microsoft.com/office/drawing/2014/main" id="{0D58C928-C45F-4195-8EB9-346E4894CD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4282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11" name="Picture">
          <a:extLst>
            <a:ext uri="{FF2B5EF4-FFF2-40B4-BE49-F238E27FC236}">
              <a16:creationId xmlns:a16="http://schemas.microsoft.com/office/drawing/2014/main" id="{8995EA70-73AE-4827-B1F7-0F889F7B242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363220</xdr:colOff>
      <xdr:row>3</xdr:row>
      <xdr:rowOff>226060</xdr:rowOff>
    </xdr:to>
    <xdr:pic>
      <xdr:nvPicPr>
        <xdr:cNvPr id="12" name="Picture">
          <a:extLst>
            <a:ext uri="{FF2B5EF4-FFF2-40B4-BE49-F238E27FC236}">
              <a16:creationId xmlns:a16="http://schemas.microsoft.com/office/drawing/2014/main" id="{DB4558AD-21C4-434C-832B-0C4E748AC5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13" name="Picture">
          <a:extLst>
            <a:ext uri="{FF2B5EF4-FFF2-40B4-BE49-F238E27FC236}">
              <a16:creationId xmlns:a16="http://schemas.microsoft.com/office/drawing/2014/main" id="{3D012653-9936-4816-93F7-9F286D6565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14" name="Picture">
          <a:extLst>
            <a:ext uri="{FF2B5EF4-FFF2-40B4-BE49-F238E27FC236}">
              <a16:creationId xmlns:a16="http://schemas.microsoft.com/office/drawing/2014/main" id="{514E0846-11DE-4FCB-80BD-870ADDDC85D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15" name="Picture">
          <a:extLst>
            <a:ext uri="{FF2B5EF4-FFF2-40B4-BE49-F238E27FC236}">
              <a16:creationId xmlns:a16="http://schemas.microsoft.com/office/drawing/2014/main" id="{E88AD991-409D-4563-9305-B0D7CEB433A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6797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370840</xdr:colOff>
      <xdr:row>3</xdr:row>
      <xdr:rowOff>238760</xdr:rowOff>
    </xdr:to>
    <xdr:pic>
      <xdr:nvPicPr>
        <xdr:cNvPr id="16" name="Picture">
          <a:extLst>
            <a:ext uri="{FF2B5EF4-FFF2-40B4-BE49-F238E27FC236}">
              <a16:creationId xmlns:a16="http://schemas.microsoft.com/office/drawing/2014/main" id="{8B2600FE-3A40-4418-8DE4-19EFDB627E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363220</xdr:colOff>
      <xdr:row>3</xdr:row>
      <xdr:rowOff>238760</xdr:rowOff>
    </xdr:to>
    <xdr:pic>
      <xdr:nvPicPr>
        <xdr:cNvPr id="17" name="Picture">
          <a:extLst>
            <a:ext uri="{FF2B5EF4-FFF2-40B4-BE49-F238E27FC236}">
              <a16:creationId xmlns:a16="http://schemas.microsoft.com/office/drawing/2014/main" id="{13F3A32F-9814-4AB9-9B2B-BC85E1FD72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370840</xdr:colOff>
      <xdr:row>3</xdr:row>
      <xdr:rowOff>238760</xdr:rowOff>
    </xdr:to>
    <xdr:pic>
      <xdr:nvPicPr>
        <xdr:cNvPr id="18" name="Picture">
          <a:extLst>
            <a:ext uri="{FF2B5EF4-FFF2-40B4-BE49-F238E27FC236}">
              <a16:creationId xmlns:a16="http://schemas.microsoft.com/office/drawing/2014/main" id="{0691CE71-0A37-4A5F-BB4A-9A4499AD89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370840</xdr:colOff>
      <xdr:row>3</xdr:row>
      <xdr:rowOff>238760</xdr:rowOff>
    </xdr:to>
    <xdr:pic>
      <xdr:nvPicPr>
        <xdr:cNvPr id="19" name="Picture">
          <a:extLst>
            <a:ext uri="{FF2B5EF4-FFF2-40B4-BE49-F238E27FC236}">
              <a16:creationId xmlns:a16="http://schemas.microsoft.com/office/drawing/2014/main" id="{8ED9C829-6C0F-44DB-B75E-9A0B161F2AE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370840</xdr:colOff>
      <xdr:row>3</xdr:row>
      <xdr:rowOff>238760</xdr:rowOff>
    </xdr:to>
    <xdr:pic>
      <xdr:nvPicPr>
        <xdr:cNvPr id="20" name="Picture">
          <a:extLst>
            <a:ext uri="{FF2B5EF4-FFF2-40B4-BE49-F238E27FC236}">
              <a16:creationId xmlns:a16="http://schemas.microsoft.com/office/drawing/2014/main" id="{5F82FAED-F2FB-426A-923B-4DD0DE7A34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12700</xdr:rowOff>
    </xdr:from>
    <xdr:to>
      <xdr:col>25</xdr:col>
      <xdr:colOff>370840</xdr:colOff>
      <xdr:row>3</xdr:row>
      <xdr:rowOff>238760</xdr:rowOff>
    </xdr:to>
    <xdr:pic>
      <xdr:nvPicPr>
        <xdr:cNvPr id="21" name="Picture">
          <a:extLst>
            <a:ext uri="{FF2B5EF4-FFF2-40B4-BE49-F238E27FC236}">
              <a16:creationId xmlns:a16="http://schemas.microsoft.com/office/drawing/2014/main" id="{B904CF62-CD40-44D5-945B-E1A27320318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9311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2" name="Picture">
          <a:extLst>
            <a:ext uri="{FF2B5EF4-FFF2-40B4-BE49-F238E27FC236}">
              <a16:creationId xmlns:a16="http://schemas.microsoft.com/office/drawing/2014/main" id="{E13C1B5B-93E9-46DB-87D3-23287B6380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363220</xdr:colOff>
      <xdr:row>4</xdr:row>
      <xdr:rowOff>226060</xdr:rowOff>
    </xdr:to>
    <xdr:pic>
      <xdr:nvPicPr>
        <xdr:cNvPr id="23" name="Picture">
          <a:extLst>
            <a:ext uri="{FF2B5EF4-FFF2-40B4-BE49-F238E27FC236}">
              <a16:creationId xmlns:a16="http://schemas.microsoft.com/office/drawing/2014/main" id="{1FF276F6-24D2-4594-A568-A85A05A59E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4" name="Picture">
          <a:extLst>
            <a:ext uri="{FF2B5EF4-FFF2-40B4-BE49-F238E27FC236}">
              <a16:creationId xmlns:a16="http://schemas.microsoft.com/office/drawing/2014/main" id="{DDEFCE59-3DD4-45C2-8368-EBCF017B1D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5" name="Picture">
          <a:extLst>
            <a:ext uri="{FF2B5EF4-FFF2-40B4-BE49-F238E27FC236}">
              <a16:creationId xmlns:a16="http://schemas.microsoft.com/office/drawing/2014/main" id="{593154D3-9ED4-4AAF-97EF-EDD27EB8FC2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6" name="Picture">
          <a:extLst>
            <a:ext uri="{FF2B5EF4-FFF2-40B4-BE49-F238E27FC236}">
              <a16:creationId xmlns:a16="http://schemas.microsoft.com/office/drawing/2014/main" id="{8DA1697B-7941-46FD-B88E-33CC6E6A6EE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7" name="Picture">
          <a:extLst>
            <a:ext uri="{FF2B5EF4-FFF2-40B4-BE49-F238E27FC236}">
              <a16:creationId xmlns:a16="http://schemas.microsoft.com/office/drawing/2014/main" id="{18796067-C1C4-498E-8A8D-02658A2EE8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1826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28" name="Picture">
          <a:extLst>
            <a:ext uri="{FF2B5EF4-FFF2-40B4-BE49-F238E27FC236}">
              <a16:creationId xmlns:a16="http://schemas.microsoft.com/office/drawing/2014/main" id="{F347A1DB-1887-47B4-8CA5-DEF2EC8D07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363220</xdr:colOff>
      <xdr:row>4</xdr:row>
      <xdr:rowOff>226060</xdr:rowOff>
    </xdr:to>
    <xdr:pic>
      <xdr:nvPicPr>
        <xdr:cNvPr id="29" name="Picture">
          <a:extLst>
            <a:ext uri="{FF2B5EF4-FFF2-40B4-BE49-F238E27FC236}">
              <a16:creationId xmlns:a16="http://schemas.microsoft.com/office/drawing/2014/main" id="{DB91C2EA-79CA-472A-9DE2-BA0A3ABF62E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30" name="Picture">
          <a:extLst>
            <a:ext uri="{FF2B5EF4-FFF2-40B4-BE49-F238E27FC236}">
              <a16:creationId xmlns:a16="http://schemas.microsoft.com/office/drawing/2014/main" id="{A6794CB6-791C-4286-BA22-572A1212095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31" name="Picture">
          <a:extLst>
            <a:ext uri="{FF2B5EF4-FFF2-40B4-BE49-F238E27FC236}">
              <a16:creationId xmlns:a16="http://schemas.microsoft.com/office/drawing/2014/main" id="{DD2AD590-67B8-4125-AEB3-31C2F1D031D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32" name="Picture">
          <a:extLst>
            <a:ext uri="{FF2B5EF4-FFF2-40B4-BE49-F238E27FC236}">
              <a16:creationId xmlns:a16="http://schemas.microsoft.com/office/drawing/2014/main" id="{38A5F330-DD9F-4296-BE14-D19FC6C9DD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33" name="Picture">
          <a:extLst>
            <a:ext uri="{FF2B5EF4-FFF2-40B4-BE49-F238E27FC236}">
              <a16:creationId xmlns:a16="http://schemas.microsoft.com/office/drawing/2014/main" id="{5F904FE1-4E47-417D-A61D-9EEDB211A5B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34" name="Picture">
          <a:extLst>
            <a:ext uri="{FF2B5EF4-FFF2-40B4-BE49-F238E27FC236}">
              <a16:creationId xmlns:a16="http://schemas.microsoft.com/office/drawing/2014/main" id="{4D22850D-50F4-4DB5-9047-98DEAA6C93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363220</xdr:colOff>
      <xdr:row>4</xdr:row>
      <xdr:rowOff>238760</xdr:rowOff>
    </xdr:to>
    <xdr:pic>
      <xdr:nvPicPr>
        <xdr:cNvPr id="35" name="Picture">
          <a:extLst>
            <a:ext uri="{FF2B5EF4-FFF2-40B4-BE49-F238E27FC236}">
              <a16:creationId xmlns:a16="http://schemas.microsoft.com/office/drawing/2014/main" id="{BE3A40E4-D1B0-4FD3-B07B-9DB5B2A8A72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6855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36" name="Picture">
          <a:extLst>
            <a:ext uri="{FF2B5EF4-FFF2-40B4-BE49-F238E27FC236}">
              <a16:creationId xmlns:a16="http://schemas.microsoft.com/office/drawing/2014/main" id="{341007BF-4776-4F43-8985-C79F421900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37" name="Picture">
          <a:extLst>
            <a:ext uri="{FF2B5EF4-FFF2-40B4-BE49-F238E27FC236}">
              <a16:creationId xmlns:a16="http://schemas.microsoft.com/office/drawing/2014/main" id="{D182CE52-1F6F-4109-8A4D-07151C0DECD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38" name="Picture">
          <a:extLst>
            <a:ext uri="{FF2B5EF4-FFF2-40B4-BE49-F238E27FC236}">
              <a16:creationId xmlns:a16="http://schemas.microsoft.com/office/drawing/2014/main" id="{D9807F6F-1A07-4FBF-8E0E-3197E70432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12700</xdr:rowOff>
    </xdr:from>
    <xdr:to>
      <xdr:col>25</xdr:col>
      <xdr:colOff>370840</xdr:colOff>
      <xdr:row>4</xdr:row>
      <xdr:rowOff>238760</xdr:rowOff>
    </xdr:to>
    <xdr:pic>
      <xdr:nvPicPr>
        <xdr:cNvPr id="39" name="Picture">
          <a:extLst>
            <a:ext uri="{FF2B5EF4-FFF2-40B4-BE49-F238E27FC236}">
              <a16:creationId xmlns:a16="http://schemas.microsoft.com/office/drawing/2014/main" id="{341620E4-8AD7-4C42-B3AA-FE692F1F65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6855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0" name="Picture">
          <a:extLst>
            <a:ext uri="{FF2B5EF4-FFF2-40B4-BE49-F238E27FC236}">
              <a16:creationId xmlns:a16="http://schemas.microsoft.com/office/drawing/2014/main" id="{8A1B611C-38B6-4D74-8CE4-75CF12BFDA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363220</xdr:colOff>
      <xdr:row>5</xdr:row>
      <xdr:rowOff>226060</xdr:rowOff>
    </xdr:to>
    <xdr:pic>
      <xdr:nvPicPr>
        <xdr:cNvPr id="41" name="Picture">
          <a:extLst>
            <a:ext uri="{FF2B5EF4-FFF2-40B4-BE49-F238E27FC236}">
              <a16:creationId xmlns:a16="http://schemas.microsoft.com/office/drawing/2014/main" id="{7CD1E301-4786-412D-B6AA-216D7C296A0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39370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2" name="Picture">
          <a:extLst>
            <a:ext uri="{FF2B5EF4-FFF2-40B4-BE49-F238E27FC236}">
              <a16:creationId xmlns:a16="http://schemas.microsoft.com/office/drawing/2014/main" id="{7FBAF05E-5F06-4821-A47B-911F9DA6DA9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3" name="Picture">
          <a:extLst>
            <a:ext uri="{FF2B5EF4-FFF2-40B4-BE49-F238E27FC236}">
              <a16:creationId xmlns:a16="http://schemas.microsoft.com/office/drawing/2014/main" id="{361B38E2-A5CB-4D42-8C36-FF35CCC3A1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4" name="Picture">
          <a:extLst>
            <a:ext uri="{FF2B5EF4-FFF2-40B4-BE49-F238E27FC236}">
              <a16:creationId xmlns:a16="http://schemas.microsoft.com/office/drawing/2014/main" id="{8BC8AF90-2671-4D43-A13F-BAFA7627CEE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25</xdr:col>
      <xdr:colOff>370840</xdr:colOff>
      <xdr:row>5</xdr:row>
      <xdr:rowOff>226060</xdr:rowOff>
    </xdr:to>
    <xdr:pic>
      <xdr:nvPicPr>
        <xdr:cNvPr id="45" name="Picture">
          <a:extLst>
            <a:ext uri="{FF2B5EF4-FFF2-40B4-BE49-F238E27FC236}">
              <a16:creationId xmlns:a16="http://schemas.microsoft.com/office/drawing/2014/main" id="{5D4F250B-73DF-4C82-AF5B-85D82D3D2D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9370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46" name="Picture">
          <a:extLst>
            <a:ext uri="{FF2B5EF4-FFF2-40B4-BE49-F238E27FC236}">
              <a16:creationId xmlns:a16="http://schemas.microsoft.com/office/drawing/2014/main" id="{5F79CEB1-3542-4AF7-A582-AD185A23AC4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363220</xdr:colOff>
      <xdr:row>5</xdr:row>
      <xdr:rowOff>238760</xdr:rowOff>
    </xdr:to>
    <xdr:pic>
      <xdr:nvPicPr>
        <xdr:cNvPr id="47" name="Picture">
          <a:extLst>
            <a:ext uri="{FF2B5EF4-FFF2-40B4-BE49-F238E27FC236}">
              <a16:creationId xmlns:a16="http://schemas.microsoft.com/office/drawing/2014/main" id="{1D742C78-E137-4FBC-AC6B-AC2C0F501E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48" name="Picture">
          <a:extLst>
            <a:ext uri="{FF2B5EF4-FFF2-40B4-BE49-F238E27FC236}">
              <a16:creationId xmlns:a16="http://schemas.microsoft.com/office/drawing/2014/main" id="{82F73899-D05F-4992-AD51-1816AB6A29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49" name="Picture">
          <a:extLst>
            <a:ext uri="{FF2B5EF4-FFF2-40B4-BE49-F238E27FC236}">
              <a16:creationId xmlns:a16="http://schemas.microsoft.com/office/drawing/2014/main" id="{70E3AF2C-B2C3-4245-B530-D8AE6B19F3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0" name="Picture">
          <a:extLst>
            <a:ext uri="{FF2B5EF4-FFF2-40B4-BE49-F238E27FC236}">
              <a16:creationId xmlns:a16="http://schemas.microsoft.com/office/drawing/2014/main" id="{CD6929F6-4F0F-40D4-A2AF-E188D96F41F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12700</xdr:rowOff>
    </xdr:from>
    <xdr:to>
      <xdr:col>25</xdr:col>
      <xdr:colOff>370840</xdr:colOff>
      <xdr:row>5</xdr:row>
      <xdr:rowOff>238760</xdr:rowOff>
    </xdr:to>
    <xdr:pic>
      <xdr:nvPicPr>
        <xdr:cNvPr id="51" name="Picture">
          <a:extLst>
            <a:ext uri="{FF2B5EF4-FFF2-40B4-BE49-F238E27FC236}">
              <a16:creationId xmlns:a16="http://schemas.microsoft.com/office/drawing/2014/main" id="{266A7811-BEFB-4D45-BB73-31AB6FF937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1884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2" name="Picture">
          <a:extLst>
            <a:ext uri="{FF2B5EF4-FFF2-40B4-BE49-F238E27FC236}">
              <a16:creationId xmlns:a16="http://schemas.microsoft.com/office/drawing/2014/main" id="{80E90985-A376-43D9-A444-E61083319BF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363220</xdr:colOff>
      <xdr:row>6</xdr:row>
      <xdr:rowOff>226060</xdr:rowOff>
    </xdr:to>
    <xdr:pic>
      <xdr:nvPicPr>
        <xdr:cNvPr id="53" name="Picture">
          <a:extLst>
            <a:ext uri="{FF2B5EF4-FFF2-40B4-BE49-F238E27FC236}">
              <a16:creationId xmlns:a16="http://schemas.microsoft.com/office/drawing/2014/main" id="{553DF06F-A613-46B9-A2A0-ECCA1AF811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4" name="Picture">
          <a:extLst>
            <a:ext uri="{FF2B5EF4-FFF2-40B4-BE49-F238E27FC236}">
              <a16:creationId xmlns:a16="http://schemas.microsoft.com/office/drawing/2014/main" id="{06540E83-A71B-455F-87CC-59ACA7086E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5" name="Picture">
          <a:extLst>
            <a:ext uri="{FF2B5EF4-FFF2-40B4-BE49-F238E27FC236}">
              <a16:creationId xmlns:a16="http://schemas.microsoft.com/office/drawing/2014/main" id="{78DC4CA9-1284-47CD-B051-7983D92B3F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6" name="Picture">
          <a:extLst>
            <a:ext uri="{FF2B5EF4-FFF2-40B4-BE49-F238E27FC236}">
              <a16:creationId xmlns:a16="http://schemas.microsoft.com/office/drawing/2014/main" id="{C774D0C7-5449-4606-86F4-EDFF87EA723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7" name="Picture">
          <a:extLst>
            <a:ext uri="{FF2B5EF4-FFF2-40B4-BE49-F238E27FC236}">
              <a16:creationId xmlns:a16="http://schemas.microsoft.com/office/drawing/2014/main" id="{E88844DB-B4A1-4F1B-BBBD-CCF9CCE27DB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44399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58" name="Picture">
          <a:extLst>
            <a:ext uri="{FF2B5EF4-FFF2-40B4-BE49-F238E27FC236}">
              <a16:creationId xmlns:a16="http://schemas.microsoft.com/office/drawing/2014/main" id="{970679AA-C12B-4DD7-8F57-F44E7979F5E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363220</xdr:colOff>
      <xdr:row>6</xdr:row>
      <xdr:rowOff>226060</xdr:rowOff>
    </xdr:to>
    <xdr:pic>
      <xdr:nvPicPr>
        <xdr:cNvPr id="59" name="Picture">
          <a:extLst>
            <a:ext uri="{FF2B5EF4-FFF2-40B4-BE49-F238E27FC236}">
              <a16:creationId xmlns:a16="http://schemas.microsoft.com/office/drawing/2014/main" id="{25578290-9C15-4CC3-B2A7-263B7A0E6A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0" name="Picture">
          <a:extLst>
            <a:ext uri="{FF2B5EF4-FFF2-40B4-BE49-F238E27FC236}">
              <a16:creationId xmlns:a16="http://schemas.microsoft.com/office/drawing/2014/main" id="{93675347-F786-452D-8BF4-373BF61A5A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1" name="Picture">
          <a:extLst>
            <a:ext uri="{FF2B5EF4-FFF2-40B4-BE49-F238E27FC236}">
              <a16:creationId xmlns:a16="http://schemas.microsoft.com/office/drawing/2014/main" id="{24A2631E-926B-4AC7-80F7-2760DA33932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2" name="Picture">
          <a:extLst>
            <a:ext uri="{FF2B5EF4-FFF2-40B4-BE49-F238E27FC236}">
              <a16:creationId xmlns:a16="http://schemas.microsoft.com/office/drawing/2014/main" id="{14542FF0-8922-4EFB-B323-8EAD9F59E6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3" name="Picture">
          <a:extLst>
            <a:ext uri="{FF2B5EF4-FFF2-40B4-BE49-F238E27FC236}">
              <a16:creationId xmlns:a16="http://schemas.microsoft.com/office/drawing/2014/main" id="{B86B9E95-32A1-4A39-9EDB-BDE8FFB4A5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6913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370840</xdr:colOff>
      <xdr:row>6</xdr:row>
      <xdr:rowOff>226060</xdr:rowOff>
    </xdr:to>
    <xdr:pic>
      <xdr:nvPicPr>
        <xdr:cNvPr id="64" name="Picture">
          <a:extLst>
            <a:ext uri="{FF2B5EF4-FFF2-40B4-BE49-F238E27FC236}">
              <a16:creationId xmlns:a16="http://schemas.microsoft.com/office/drawing/2014/main" id="{B612456A-2197-402A-B7F1-52BB3AEAD2A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9428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363220</xdr:colOff>
      <xdr:row>6</xdr:row>
      <xdr:rowOff>226060</xdr:rowOff>
    </xdr:to>
    <xdr:pic>
      <xdr:nvPicPr>
        <xdr:cNvPr id="65" name="Picture">
          <a:extLst>
            <a:ext uri="{FF2B5EF4-FFF2-40B4-BE49-F238E27FC236}">
              <a16:creationId xmlns:a16="http://schemas.microsoft.com/office/drawing/2014/main" id="{25D2A11C-A4CF-4C86-85A1-C40CA1E765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49428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66" name="Picture">
          <a:extLst>
            <a:ext uri="{FF2B5EF4-FFF2-40B4-BE49-F238E27FC236}">
              <a16:creationId xmlns:a16="http://schemas.microsoft.com/office/drawing/2014/main" id="{C6788B61-349D-4790-B27B-02C1B4EA7AE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363220</xdr:colOff>
      <xdr:row>6</xdr:row>
      <xdr:rowOff>238760</xdr:rowOff>
    </xdr:to>
    <xdr:pic>
      <xdr:nvPicPr>
        <xdr:cNvPr id="67" name="Picture">
          <a:extLst>
            <a:ext uri="{FF2B5EF4-FFF2-40B4-BE49-F238E27FC236}">
              <a16:creationId xmlns:a16="http://schemas.microsoft.com/office/drawing/2014/main" id="{126C96BF-A97D-4A50-B87A-EDC8F236AF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68" name="Picture">
          <a:extLst>
            <a:ext uri="{FF2B5EF4-FFF2-40B4-BE49-F238E27FC236}">
              <a16:creationId xmlns:a16="http://schemas.microsoft.com/office/drawing/2014/main" id="{EDBC94E1-CCB7-41F9-B2B1-0AB443DEE4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69" name="Picture">
          <a:extLst>
            <a:ext uri="{FF2B5EF4-FFF2-40B4-BE49-F238E27FC236}">
              <a16:creationId xmlns:a16="http://schemas.microsoft.com/office/drawing/2014/main" id="{681FE7D4-3A20-48DF-BEFC-2940633E58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12700</xdr:rowOff>
    </xdr:from>
    <xdr:to>
      <xdr:col>25</xdr:col>
      <xdr:colOff>370840</xdr:colOff>
      <xdr:row>6</xdr:row>
      <xdr:rowOff>238760</xdr:rowOff>
    </xdr:to>
    <xdr:pic>
      <xdr:nvPicPr>
        <xdr:cNvPr id="70" name="Picture">
          <a:extLst>
            <a:ext uri="{FF2B5EF4-FFF2-40B4-BE49-F238E27FC236}">
              <a16:creationId xmlns:a16="http://schemas.microsoft.com/office/drawing/2014/main" id="{49B4C89E-C796-4950-83B4-BA16E140A8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4457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1" name="Picture">
          <a:extLst>
            <a:ext uri="{FF2B5EF4-FFF2-40B4-BE49-F238E27FC236}">
              <a16:creationId xmlns:a16="http://schemas.microsoft.com/office/drawing/2014/main" id="{50BFB880-C560-45A8-8A10-AC6D68660E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363220</xdr:colOff>
      <xdr:row>7</xdr:row>
      <xdr:rowOff>238760</xdr:rowOff>
    </xdr:to>
    <xdr:pic>
      <xdr:nvPicPr>
        <xdr:cNvPr id="72" name="Picture">
          <a:extLst>
            <a:ext uri="{FF2B5EF4-FFF2-40B4-BE49-F238E27FC236}">
              <a16:creationId xmlns:a16="http://schemas.microsoft.com/office/drawing/2014/main" id="{7BF16815-7132-4CC7-B3D2-8D279A6F5A1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3" name="Picture">
          <a:extLst>
            <a:ext uri="{FF2B5EF4-FFF2-40B4-BE49-F238E27FC236}">
              <a16:creationId xmlns:a16="http://schemas.microsoft.com/office/drawing/2014/main" id="{2D6FF87A-408D-4FFB-A70C-FA587B845C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4" name="Picture">
          <a:extLst>
            <a:ext uri="{FF2B5EF4-FFF2-40B4-BE49-F238E27FC236}">
              <a16:creationId xmlns:a16="http://schemas.microsoft.com/office/drawing/2014/main" id="{732FC34E-FA51-4819-8331-E569F92262F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12700</xdr:rowOff>
    </xdr:from>
    <xdr:to>
      <xdr:col>25</xdr:col>
      <xdr:colOff>370840</xdr:colOff>
      <xdr:row>7</xdr:row>
      <xdr:rowOff>238760</xdr:rowOff>
    </xdr:to>
    <xdr:pic>
      <xdr:nvPicPr>
        <xdr:cNvPr id="75" name="Picture">
          <a:extLst>
            <a:ext uri="{FF2B5EF4-FFF2-40B4-BE49-F238E27FC236}">
              <a16:creationId xmlns:a16="http://schemas.microsoft.com/office/drawing/2014/main" id="{93AC3E7B-550B-4CC5-825B-1ED901980BD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6972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370840</xdr:colOff>
      <xdr:row>8</xdr:row>
      <xdr:rowOff>226060</xdr:rowOff>
    </xdr:to>
    <xdr:pic>
      <xdr:nvPicPr>
        <xdr:cNvPr id="76" name="Picture">
          <a:extLst>
            <a:ext uri="{FF2B5EF4-FFF2-40B4-BE49-F238E27FC236}">
              <a16:creationId xmlns:a16="http://schemas.microsoft.com/office/drawing/2014/main" id="{2EA3BE35-ECE6-4654-B7AA-D55D469519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363220</xdr:colOff>
      <xdr:row>8</xdr:row>
      <xdr:rowOff>226060</xdr:rowOff>
    </xdr:to>
    <xdr:pic>
      <xdr:nvPicPr>
        <xdr:cNvPr id="77" name="Picture">
          <a:extLst>
            <a:ext uri="{FF2B5EF4-FFF2-40B4-BE49-F238E27FC236}">
              <a16:creationId xmlns:a16="http://schemas.microsoft.com/office/drawing/2014/main" id="{C8FA65FC-9315-4380-8781-317A56D2F96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370840</xdr:colOff>
      <xdr:row>8</xdr:row>
      <xdr:rowOff>226060</xdr:rowOff>
    </xdr:to>
    <xdr:pic>
      <xdr:nvPicPr>
        <xdr:cNvPr id="78" name="Picture">
          <a:extLst>
            <a:ext uri="{FF2B5EF4-FFF2-40B4-BE49-F238E27FC236}">
              <a16:creationId xmlns:a16="http://schemas.microsoft.com/office/drawing/2014/main" id="{CE7BA6ED-94E6-497C-BD89-D5775EE227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370840</xdr:colOff>
      <xdr:row>8</xdr:row>
      <xdr:rowOff>226060</xdr:rowOff>
    </xdr:to>
    <xdr:pic>
      <xdr:nvPicPr>
        <xdr:cNvPr id="79" name="Picture">
          <a:extLst>
            <a:ext uri="{FF2B5EF4-FFF2-40B4-BE49-F238E27FC236}">
              <a16:creationId xmlns:a16="http://schemas.microsoft.com/office/drawing/2014/main" id="{945D4ED7-3F65-4B9B-B0EB-DB16350FA44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370840</xdr:colOff>
      <xdr:row>8</xdr:row>
      <xdr:rowOff>226060</xdr:rowOff>
    </xdr:to>
    <xdr:pic>
      <xdr:nvPicPr>
        <xdr:cNvPr id="80" name="Picture">
          <a:extLst>
            <a:ext uri="{FF2B5EF4-FFF2-40B4-BE49-F238E27FC236}">
              <a16:creationId xmlns:a16="http://schemas.microsoft.com/office/drawing/2014/main" id="{CFA75C82-950B-4157-8789-4AF485A3209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25</xdr:col>
      <xdr:colOff>370840</xdr:colOff>
      <xdr:row>8</xdr:row>
      <xdr:rowOff>226060</xdr:rowOff>
    </xdr:to>
    <xdr:pic>
      <xdr:nvPicPr>
        <xdr:cNvPr id="81" name="Picture">
          <a:extLst>
            <a:ext uri="{FF2B5EF4-FFF2-40B4-BE49-F238E27FC236}">
              <a16:creationId xmlns:a16="http://schemas.microsoft.com/office/drawing/2014/main" id="{09737BEC-3F43-475B-9506-ECDBCAA332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59486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82" name="Picture">
          <a:extLst>
            <a:ext uri="{FF2B5EF4-FFF2-40B4-BE49-F238E27FC236}">
              <a16:creationId xmlns:a16="http://schemas.microsoft.com/office/drawing/2014/main" id="{42BA0D4D-16EF-47E4-8881-78C05D6685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363220</xdr:colOff>
      <xdr:row>8</xdr:row>
      <xdr:rowOff>238760</xdr:rowOff>
    </xdr:to>
    <xdr:pic>
      <xdr:nvPicPr>
        <xdr:cNvPr id="83" name="Picture">
          <a:extLst>
            <a:ext uri="{FF2B5EF4-FFF2-40B4-BE49-F238E27FC236}">
              <a16:creationId xmlns:a16="http://schemas.microsoft.com/office/drawing/2014/main" id="{ED04DCE1-BD92-49C7-908E-79E4AC45C8F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84" name="Picture">
          <a:extLst>
            <a:ext uri="{FF2B5EF4-FFF2-40B4-BE49-F238E27FC236}">
              <a16:creationId xmlns:a16="http://schemas.microsoft.com/office/drawing/2014/main" id="{F745522A-2E32-4B61-90F6-91235AD2DC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85" name="Picture">
          <a:extLst>
            <a:ext uri="{FF2B5EF4-FFF2-40B4-BE49-F238E27FC236}">
              <a16:creationId xmlns:a16="http://schemas.microsoft.com/office/drawing/2014/main" id="{65999407-CE23-4223-9E39-DD1ABB15236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12700</xdr:rowOff>
    </xdr:from>
    <xdr:to>
      <xdr:col>25</xdr:col>
      <xdr:colOff>370840</xdr:colOff>
      <xdr:row>8</xdr:row>
      <xdr:rowOff>238760</xdr:rowOff>
    </xdr:to>
    <xdr:pic>
      <xdr:nvPicPr>
        <xdr:cNvPr id="86" name="Picture">
          <a:extLst>
            <a:ext uri="{FF2B5EF4-FFF2-40B4-BE49-F238E27FC236}">
              <a16:creationId xmlns:a16="http://schemas.microsoft.com/office/drawing/2014/main" id="{1C50D417-C744-439E-8711-34C0A1F436D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2001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7" name="Picture">
          <a:extLst>
            <a:ext uri="{FF2B5EF4-FFF2-40B4-BE49-F238E27FC236}">
              <a16:creationId xmlns:a16="http://schemas.microsoft.com/office/drawing/2014/main" id="{086F0492-86F1-41C9-943A-8D1CD8E1A0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88" name="Picture">
          <a:extLst>
            <a:ext uri="{FF2B5EF4-FFF2-40B4-BE49-F238E27FC236}">
              <a16:creationId xmlns:a16="http://schemas.microsoft.com/office/drawing/2014/main" id="{9816C5ED-F1AD-4D31-98EA-08791F57495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l="39534" r="39534"/>
        </a:stretch>
      </xdr:blipFill>
      <xdr:spPr>
        <a:xfrm>
          <a:off x="20413980" y="64516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89" name="Picture">
          <a:extLst>
            <a:ext uri="{FF2B5EF4-FFF2-40B4-BE49-F238E27FC236}">
              <a16:creationId xmlns:a16="http://schemas.microsoft.com/office/drawing/2014/main" id="{29D4E172-FB3A-432D-B5EA-E1E258E856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0" name="Picture">
          <a:extLst>
            <a:ext uri="{FF2B5EF4-FFF2-40B4-BE49-F238E27FC236}">
              <a16:creationId xmlns:a16="http://schemas.microsoft.com/office/drawing/2014/main" id="{45091F48-52D7-45F0-B1EB-A062340947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1" name="Picture">
          <a:extLst>
            <a:ext uri="{FF2B5EF4-FFF2-40B4-BE49-F238E27FC236}">
              <a16:creationId xmlns:a16="http://schemas.microsoft.com/office/drawing/2014/main" id="{4194EED5-B733-4404-A2CC-43DE7C7A9F8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2" name="Picture">
          <a:extLst>
            <a:ext uri="{FF2B5EF4-FFF2-40B4-BE49-F238E27FC236}">
              <a16:creationId xmlns:a16="http://schemas.microsoft.com/office/drawing/2014/main" id="{6DF02368-8B4F-4214-96BB-5F79491CD86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4516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3" name="Picture">
          <a:extLst>
            <a:ext uri="{FF2B5EF4-FFF2-40B4-BE49-F238E27FC236}">
              <a16:creationId xmlns:a16="http://schemas.microsoft.com/office/drawing/2014/main" id="{1CCD9100-DA49-46B7-B361-2E0DBE5F318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94" name="Picture">
          <a:extLst>
            <a:ext uri="{FF2B5EF4-FFF2-40B4-BE49-F238E27FC236}">
              <a16:creationId xmlns:a16="http://schemas.microsoft.com/office/drawing/2014/main" id="{F3CC496D-7BF0-4616-88CF-18B1B4014B8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5" name="Picture">
          <a:extLst>
            <a:ext uri="{FF2B5EF4-FFF2-40B4-BE49-F238E27FC236}">
              <a16:creationId xmlns:a16="http://schemas.microsoft.com/office/drawing/2014/main" id="{A26DE911-2C53-4460-8425-BB9A68FFF0B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6" name="Picture">
          <a:extLst>
            <a:ext uri="{FF2B5EF4-FFF2-40B4-BE49-F238E27FC236}">
              <a16:creationId xmlns:a16="http://schemas.microsoft.com/office/drawing/2014/main" id="{CCF22FCF-113E-4D68-83DA-DC6DCC9B61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7" name="Picture">
          <a:extLst>
            <a:ext uri="{FF2B5EF4-FFF2-40B4-BE49-F238E27FC236}">
              <a16:creationId xmlns:a16="http://schemas.microsoft.com/office/drawing/2014/main" id="{B6C821CB-B7C5-4EE2-A9D4-808FD8B0D5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8" name="Picture">
          <a:extLst>
            <a:ext uri="{FF2B5EF4-FFF2-40B4-BE49-F238E27FC236}">
              <a16:creationId xmlns:a16="http://schemas.microsoft.com/office/drawing/2014/main" id="{3B2DFADA-4288-411B-B8F4-17E22CC00AD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70306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99" name="Picture">
          <a:extLst>
            <a:ext uri="{FF2B5EF4-FFF2-40B4-BE49-F238E27FC236}">
              <a16:creationId xmlns:a16="http://schemas.microsoft.com/office/drawing/2014/main" id="{25A485CD-DC4A-404A-A42A-B34592FF04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100" name="Picture">
          <a:extLst>
            <a:ext uri="{FF2B5EF4-FFF2-40B4-BE49-F238E27FC236}">
              <a16:creationId xmlns:a16="http://schemas.microsoft.com/office/drawing/2014/main" id="{D5D3D701-5E5B-4DDD-9DBD-931301E4186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1" name="Picture">
          <a:extLst>
            <a:ext uri="{FF2B5EF4-FFF2-40B4-BE49-F238E27FC236}">
              <a16:creationId xmlns:a16="http://schemas.microsoft.com/office/drawing/2014/main" id="{81AA3B0E-C691-4715-B3C5-7D5DB07771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2" name="Picture">
          <a:extLst>
            <a:ext uri="{FF2B5EF4-FFF2-40B4-BE49-F238E27FC236}">
              <a16:creationId xmlns:a16="http://schemas.microsoft.com/office/drawing/2014/main" id="{770BD277-E40C-434E-AAB9-94C40B2341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3" name="Picture">
          <a:extLst>
            <a:ext uri="{FF2B5EF4-FFF2-40B4-BE49-F238E27FC236}">
              <a16:creationId xmlns:a16="http://schemas.microsoft.com/office/drawing/2014/main" id="{E74AF023-AA48-466E-AA18-552223A2102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4" name="Picture">
          <a:extLst>
            <a:ext uri="{FF2B5EF4-FFF2-40B4-BE49-F238E27FC236}">
              <a16:creationId xmlns:a16="http://schemas.microsoft.com/office/drawing/2014/main" id="{C0812424-F041-43F2-82FE-6C3E31CA9E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69545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5" name="Picture">
          <a:extLst>
            <a:ext uri="{FF2B5EF4-FFF2-40B4-BE49-F238E27FC236}">
              <a16:creationId xmlns:a16="http://schemas.microsoft.com/office/drawing/2014/main" id="{BB779A74-93E6-403F-89FF-777E5D3D2A9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363220</xdr:colOff>
      <xdr:row>9</xdr:row>
      <xdr:rowOff>226060</xdr:rowOff>
    </xdr:to>
    <xdr:pic>
      <xdr:nvPicPr>
        <xdr:cNvPr id="106" name="Picture">
          <a:extLst>
            <a:ext uri="{FF2B5EF4-FFF2-40B4-BE49-F238E27FC236}">
              <a16:creationId xmlns:a16="http://schemas.microsoft.com/office/drawing/2014/main" id="{5ADB58AB-9B3C-47F4-830E-04F925EEEA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7" name="Picture">
          <a:extLst>
            <a:ext uri="{FF2B5EF4-FFF2-40B4-BE49-F238E27FC236}">
              <a16:creationId xmlns:a16="http://schemas.microsoft.com/office/drawing/2014/main" id="{34D992DA-8A0B-4C37-B41C-7599647A9A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8" name="Picture">
          <a:extLst>
            <a:ext uri="{FF2B5EF4-FFF2-40B4-BE49-F238E27FC236}">
              <a16:creationId xmlns:a16="http://schemas.microsoft.com/office/drawing/2014/main" id="{F6A2DB6A-871C-4E24-99F8-62396EF841B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09" name="Picture">
          <a:extLst>
            <a:ext uri="{FF2B5EF4-FFF2-40B4-BE49-F238E27FC236}">
              <a16:creationId xmlns:a16="http://schemas.microsoft.com/office/drawing/2014/main" id="{646B2EE0-9B4A-45B9-949D-8B22BE624E1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25</xdr:col>
      <xdr:colOff>370840</xdr:colOff>
      <xdr:row>9</xdr:row>
      <xdr:rowOff>226060</xdr:rowOff>
    </xdr:to>
    <xdr:pic>
      <xdr:nvPicPr>
        <xdr:cNvPr id="110" name="Picture">
          <a:extLst>
            <a:ext uri="{FF2B5EF4-FFF2-40B4-BE49-F238E27FC236}">
              <a16:creationId xmlns:a16="http://schemas.microsoft.com/office/drawing/2014/main" id="{93E9219E-08B2-4F66-AC4C-75CE18282C7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20598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111" name="Picture">
          <a:extLst>
            <a:ext uri="{FF2B5EF4-FFF2-40B4-BE49-F238E27FC236}">
              <a16:creationId xmlns:a16="http://schemas.microsoft.com/office/drawing/2014/main" id="{B786EFD0-BDB5-48A1-B75B-6181031350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363220</xdr:colOff>
      <xdr:row>9</xdr:row>
      <xdr:rowOff>238760</xdr:rowOff>
    </xdr:to>
    <xdr:pic>
      <xdr:nvPicPr>
        <xdr:cNvPr id="112" name="Picture">
          <a:extLst>
            <a:ext uri="{FF2B5EF4-FFF2-40B4-BE49-F238E27FC236}">
              <a16:creationId xmlns:a16="http://schemas.microsoft.com/office/drawing/2014/main" id="{A735052B-6A36-4DEA-8EC8-A5732117CF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113" name="Picture">
          <a:extLst>
            <a:ext uri="{FF2B5EF4-FFF2-40B4-BE49-F238E27FC236}">
              <a16:creationId xmlns:a16="http://schemas.microsoft.com/office/drawing/2014/main" id="{2EE3C8D0-8ECD-4F7B-ACEF-A35A3AF6CB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114" name="Picture">
          <a:extLst>
            <a:ext uri="{FF2B5EF4-FFF2-40B4-BE49-F238E27FC236}">
              <a16:creationId xmlns:a16="http://schemas.microsoft.com/office/drawing/2014/main" id="{647CA6EA-7BCB-4E22-8E5E-D087404E1F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115" name="Picture">
          <a:extLst>
            <a:ext uri="{FF2B5EF4-FFF2-40B4-BE49-F238E27FC236}">
              <a16:creationId xmlns:a16="http://schemas.microsoft.com/office/drawing/2014/main" id="{5B589C31-2E18-4F48-AA97-AD5E226CC9C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12700</xdr:rowOff>
    </xdr:from>
    <xdr:to>
      <xdr:col>25</xdr:col>
      <xdr:colOff>370840</xdr:colOff>
      <xdr:row>9</xdr:row>
      <xdr:rowOff>238760</xdr:rowOff>
    </xdr:to>
    <xdr:pic>
      <xdr:nvPicPr>
        <xdr:cNvPr id="116" name="Picture">
          <a:extLst>
            <a:ext uri="{FF2B5EF4-FFF2-40B4-BE49-F238E27FC236}">
              <a16:creationId xmlns:a16="http://schemas.microsoft.com/office/drawing/2014/main" id="{75D2C362-9217-4F74-9A27-A4948743DBC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45744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117" name="Picture">
          <a:extLst>
            <a:ext uri="{FF2B5EF4-FFF2-40B4-BE49-F238E27FC236}">
              <a16:creationId xmlns:a16="http://schemas.microsoft.com/office/drawing/2014/main" id="{D52FB08A-9CC7-4650-BC3E-FFFF72D287B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363220</xdr:colOff>
      <xdr:row>10</xdr:row>
      <xdr:rowOff>238760</xdr:rowOff>
    </xdr:to>
    <xdr:pic>
      <xdr:nvPicPr>
        <xdr:cNvPr id="118" name="Picture">
          <a:extLst>
            <a:ext uri="{FF2B5EF4-FFF2-40B4-BE49-F238E27FC236}">
              <a16:creationId xmlns:a16="http://schemas.microsoft.com/office/drawing/2014/main" id="{DB11FF9B-FDF3-4FC2-B473-FBC962996E6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7282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119" name="Picture">
          <a:extLst>
            <a:ext uri="{FF2B5EF4-FFF2-40B4-BE49-F238E27FC236}">
              <a16:creationId xmlns:a16="http://schemas.microsoft.com/office/drawing/2014/main" id="{B553C305-17CB-477F-9DF3-0B25239504C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120" name="Picture">
          <a:extLst>
            <a:ext uri="{FF2B5EF4-FFF2-40B4-BE49-F238E27FC236}">
              <a16:creationId xmlns:a16="http://schemas.microsoft.com/office/drawing/2014/main" id="{0DA6DBB5-49D5-4E1B-81EA-2C711ADA3E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121" name="Picture">
          <a:extLst>
            <a:ext uri="{FF2B5EF4-FFF2-40B4-BE49-F238E27FC236}">
              <a16:creationId xmlns:a16="http://schemas.microsoft.com/office/drawing/2014/main" id="{E453AF26-D660-4D14-91FA-E6594C3C14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12700</xdr:rowOff>
    </xdr:from>
    <xdr:to>
      <xdr:col>25</xdr:col>
      <xdr:colOff>370840</xdr:colOff>
      <xdr:row>10</xdr:row>
      <xdr:rowOff>238760</xdr:rowOff>
    </xdr:to>
    <xdr:pic>
      <xdr:nvPicPr>
        <xdr:cNvPr id="122" name="Picture">
          <a:extLst>
            <a:ext uri="{FF2B5EF4-FFF2-40B4-BE49-F238E27FC236}">
              <a16:creationId xmlns:a16="http://schemas.microsoft.com/office/drawing/2014/main" id="{8C4F022A-4207-4E6B-8ADD-BEA0B5DA38C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770890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370840</xdr:colOff>
      <xdr:row>3</xdr:row>
      <xdr:rowOff>226060</xdr:rowOff>
    </xdr:to>
    <xdr:pic>
      <xdr:nvPicPr>
        <xdr:cNvPr id="123" name="Picture">
          <a:extLst>
            <a:ext uri="{FF2B5EF4-FFF2-40B4-BE49-F238E27FC236}">
              <a16:creationId xmlns:a16="http://schemas.microsoft.com/office/drawing/2014/main" id="{151C21FD-7811-483C-8CF9-7FA81AB914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2725420"/>
          <a:ext cx="980440" cy="226060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25</xdr:col>
      <xdr:colOff>370840</xdr:colOff>
      <xdr:row>4</xdr:row>
      <xdr:rowOff>226060</xdr:rowOff>
    </xdr:to>
    <xdr:pic>
      <xdr:nvPicPr>
        <xdr:cNvPr id="124" name="Picture">
          <a:extLst>
            <a:ext uri="{FF2B5EF4-FFF2-40B4-BE49-F238E27FC236}">
              <a16:creationId xmlns:a16="http://schemas.microsoft.com/office/drawing/2014/main" id="{B32F555D-4781-46E0-9B47-CD4DFC404D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l="39534" r="39534"/>
        </a:stretch>
      </xdr:blipFill>
      <xdr:spPr>
        <a:xfrm>
          <a:off x="20413980" y="3434080"/>
          <a:ext cx="980440" cy="22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31"/>
  <sheetViews>
    <sheetView tabSelected="1" workbookViewId="0">
      <selection activeCell="I17" sqref="I17"/>
    </sheetView>
  </sheetViews>
  <sheetFormatPr baseColWidth="10" defaultColWidth="8.88671875" defaultRowHeight="14.4" x14ac:dyDescent="0.3"/>
  <cols>
    <col min="1" max="1" width="29.33203125" customWidth="1"/>
    <col min="2" max="24" width="11.6640625" customWidth="1"/>
  </cols>
  <sheetData>
    <row r="1" spans="1:24" ht="31.95" customHeight="1" thickBot="1" x14ac:dyDescent="0.35">
      <c r="A1" s="1" t="s">
        <v>31</v>
      </c>
      <c r="B1" s="1" t="s">
        <v>0</v>
      </c>
      <c r="C1" s="4"/>
      <c r="D1" s="4" t="s">
        <v>41</v>
      </c>
      <c r="E1" s="4" t="s">
        <v>43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9.95" customHeight="1" thickBot="1" x14ac:dyDescent="0.35">
      <c r="A2" s="2" t="s">
        <v>1</v>
      </c>
      <c r="B2" s="3">
        <v>0</v>
      </c>
      <c r="C2" s="4"/>
      <c r="D2" s="9">
        <f>VLOOKUP(A2,'Quiz 1_Consolidado'!$A$2:$B$30,2,FALSE)</f>
        <v>4.38</v>
      </c>
      <c r="E2" s="8">
        <v>4.38</v>
      </c>
      <c r="F2" s="4"/>
      <c r="G2" s="4" t="e">
        <f>AVERAGE(D2:D31)</f>
        <v>#N/A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9.95" customHeight="1" thickBot="1" x14ac:dyDescent="0.35">
      <c r="A3" s="2" t="s">
        <v>2</v>
      </c>
      <c r="B3" s="3">
        <v>0</v>
      </c>
      <c r="C3" s="4"/>
      <c r="D3" s="9">
        <f>VLOOKUP(A3,'Quiz 1_Consolidado'!$A$2:$B$30,2,FALSE)</f>
        <v>1.9900000000000002</v>
      </c>
      <c r="E3" s="9">
        <v>1.9900000000000002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s="15" customFormat="1" ht="19.95" customHeight="1" thickBot="1" x14ac:dyDescent="0.35">
      <c r="A4" s="11" t="s">
        <v>3</v>
      </c>
      <c r="B4" s="12">
        <v>0.3125</v>
      </c>
      <c r="C4" s="13"/>
      <c r="D4" s="14" t="e">
        <f>VLOOKUP(A4,'Quiz 1_Consolidado'!$A$2:$B$30,2,FALSE)</f>
        <v>#N/A</v>
      </c>
      <c r="E4" s="16" t="e">
        <v>#N/A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 ht="19.95" customHeight="1" thickBot="1" x14ac:dyDescent="0.35">
      <c r="A5" s="2" t="s">
        <v>4</v>
      </c>
      <c r="B5" s="3">
        <v>0</v>
      </c>
      <c r="C5" s="4"/>
      <c r="D5" s="9">
        <f>VLOOKUP(A5,'Quiz 1_Consolidado'!$A$2:$B$30,2,FALSE)</f>
        <v>2.62</v>
      </c>
      <c r="E5" s="9">
        <v>2.62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95" customHeight="1" thickBot="1" x14ac:dyDescent="0.35">
      <c r="A6" s="2" t="s">
        <v>5</v>
      </c>
      <c r="B6" s="3">
        <v>0</v>
      </c>
      <c r="C6" s="4"/>
      <c r="D6" s="9">
        <f>VLOOKUP(A6,'Quiz 1_Consolidado'!$A$2:$B$30,2,FALSE)</f>
        <v>3.15</v>
      </c>
      <c r="E6" s="8">
        <v>3.15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9.95" customHeight="1" thickBot="1" x14ac:dyDescent="0.35">
      <c r="A7" s="2" t="s">
        <v>6</v>
      </c>
      <c r="B7" s="3">
        <v>0</v>
      </c>
      <c r="C7" s="4"/>
      <c r="D7" s="9">
        <f>VLOOKUP(A7,'Quiz 1_Consolidado'!$A$2:$B$30,2,FALSE)</f>
        <v>3.9499999999999997</v>
      </c>
      <c r="E7" s="8">
        <v>3.9499999999999997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9.95" customHeight="1" thickBot="1" x14ac:dyDescent="0.35">
      <c r="A8" s="2" t="s">
        <v>7</v>
      </c>
      <c r="B8" s="3">
        <v>0</v>
      </c>
      <c r="C8" s="4"/>
      <c r="D8" s="9">
        <f>VLOOKUP(A8,'Quiz 1_Consolidado'!$A$2:$B$30,2,FALSE)</f>
        <v>2.82</v>
      </c>
      <c r="E8" s="9">
        <v>2.82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9.95" customHeight="1" thickBot="1" x14ac:dyDescent="0.35">
      <c r="A9" s="2" t="s">
        <v>8</v>
      </c>
      <c r="B9" s="3">
        <v>0</v>
      </c>
      <c r="C9" s="4"/>
      <c r="D9" s="9">
        <f>VLOOKUP(A9,'Quiz 1_Consolidado'!$A$2:$B$30,2,FALSE)</f>
        <v>2.82</v>
      </c>
      <c r="E9" s="9">
        <v>2.82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95" customHeight="1" thickBot="1" x14ac:dyDescent="0.35">
      <c r="A10" s="2" t="s">
        <v>9</v>
      </c>
      <c r="B10" s="3">
        <v>0</v>
      </c>
      <c r="C10" s="4"/>
      <c r="D10" s="9">
        <f>VLOOKUP(A10,'Quiz 1_Consolidado'!$A$2:$B$30,2,FALSE)</f>
        <v>4.51</v>
      </c>
      <c r="E10" s="8">
        <v>4.51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9.95" customHeight="1" thickBot="1" x14ac:dyDescent="0.35">
      <c r="A11" s="2" t="s">
        <v>10</v>
      </c>
      <c r="B11" s="3">
        <v>6.25E-2</v>
      </c>
      <c r="C11" s="4"/>
      <c r="D11" s="9">
        <f>VLOOKUP(A11,'Quiz 1_Consolidado'!$A$2:$B$30,2,FALSE)</f>
        <v>3.65</v>
      </c>
      <c r="E11" s="8">
        <v>3.65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9.95" customHeight="1" thickBot="1" x14ac:dyDescent="0.35">
      <c r="A12" s="2" t="s">
        <v>11</v>
      </c>
      <c r="B12" s="3">
        <v>0</v>
      </c>
      <c r="C12" s="4"/>
      <c r="D12" s="9">
        <f>VLOOKUP(A12,'Quiz 1_Consolidado'!$A$2:$B$30,2,FALSE)</f>
        <v>3.64</v>
      </c>
      <c r="E12" s="8">
        <v>3.64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9.95" customHeight="1" thickBot="1" x14ac:dyDescent="0.35">
      <c r="A13" s="2" t="s">
        <v>12</v>
      </c>
      <c r="B13" s="3">
        <v>0</v>
      </c>
      <c r="C13" s="4"/>
      <c r="D13" s="9">
        <f>VLOOKUP(A13,'Quiz 1_Consolidado'!$A$2:$B$30,2,FALSE)</f>
        <v>3.65</v>
      </c>
      <c r="E13" s="8">
        <v>3.65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9.95" customHeight="1" thickBot="1" x14ac:dyDescent="0.35">
      <c r="A14" s="2" t="s">
        <v>13</v>
      </c>
      <c r="B14" s="3">
        <v>0</v>
      </c>
      <c r="C14" s="4"/>
      <c r="D14" s="9">
        <f>VLOOKUP(A14,'Quiz 1_Consolidado'!$A$2:$B$30,2,FALSE)</f>
        <v>4.2799999999999994</v>
      </c>
      <c r="E14" s="8">
        <v>4.2799999999999994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9.95" customHeight="1" thickBot="1" x14ac:dyDescent="0.35">
      <c r="A15" s="2" t="s">
        <v>14</v>
      </c>
      <c r="B15" s="3">
        <v>0.125</v>
      </c>
      <c r="C15" s="4"/>
      <c r="D15" s="9">
        <f>VLOOKUP(A15,'Quiz 1_Consolidado'!$A$2:$B$30,2,FALSE)</f>
        <v>1.26</v>
      </c>
      <c r="E15" s="9">
        <v>1.26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9.95" customHeight="1" thickBot="1" x14ac:dyDescent="0.35">
      <c r="A16" s="2" t="s">
        <v>15</v>
      </c>
      <c r="B16" s="3">
        <v>6.25E-2</v>
      </c>
      <c r="C16" s="4"/>
      <c r="D16" s="9">
        <f>VLOOKUP(A16,'Quiz 1_Consolidado'!$A$2:$B$30,2,FALSE)</f>
        <v>2.62</v>
      </c>
      <c r="E16" s="9">
        <v>2.62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9.95" customHeight="1" thickBot="1" x14ac:dyDescent="0.35">
      <c r="A17" s="2" t="s">
        <v>16</v>
      </c>
      <c r="B17" s="3">
        <v>0</v>
      </c>
      <c r="C17" s="4"/>
      <c r="D17" s="9">
        <f>VLOOKUP(A17,'Quiz 1_Consolidado'!$A$2:$B$30,2,FALSE)</f>
        <v>4.6099999999999994</v>
      </c>
      <c r="E17" s="8">
        <v>4.6099999999999994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s="15" customFormat="1" ht="19.95" customHeight="1" thickBot="1" x14ac:dyDescent="0.35">
      <c r="A18" s="11" t="s">
        <v>17</v>
      </c>
      <c r="B18" s="12">
        <v>0.1875</v>
      </c>
      <c r="C18" s="13"/>
      <c r="D18" s="14" t="e">
        <f>VLOOKUP(A18,'Quiz 1_Consolidado'!$A$2:$B$30,2,FALSE)</f>
        <v>#N/A</v>
      </c>
      <c r="E18" s="16" t="e">
        <v>#N/A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ht="19.95" customHeight="1" thickBot="1" x14ac:dyDescent="0.35">
      <c r="A19" s="2" t="s">
        <v>18</v>
      </c>
      <c r="B19" s="3">
        <v>0</v>
      </c>
      <c r="C19" s="4"/>
      <c r="D19" s="9">
        <f>VLOOKUP(A19,'Quiz 1_Consolidado'!$A$2:$B$30,2,FALSE)</f>
        <v>0.73</v>
      </c>
      <c r="E19" s="9">
        <v>0.73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9.95" customHeight="1" thickBot="1" x14ac:dyDescent="0.35">
      <c r="A20" s="2" t="s">
        <v>19</v>
      </c>
      <c r="B20" s="3">
        <v>0</v>
      </c>
      <c r="C20" s="4"/>
      <c r="D20" s="9">
        <f>VLOOKUP(A20,'Quiz 1_Consolidado'!$A$2:$B$30,2,FALSE)</f>
        <v>3.65</v>
      </c>
      <c r="E20" s="8">
        <v>3.65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9.95" customHeight="1" thickBot="1" x14ac:dyDescent="0.35">
      <c r="A21" s="2" t="s">
        <v>20</v>
      </c>
      <c r="B21" s="3">
        <v>0</v>
      </c>
      <c r="C21" s="4"/>
      <c r="D21" s="9">
        <f>VLOOKUP(A21,'Quiz 1_Consolidado'!$A$2:$B$30,2,FALSE)</f>
        <v>3.25</v>
      </c>
      <c r="E21" s="8">
        <v>3.25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9.95" customHeight="1" thickBot="1" x14ac:dyDescent="0.35">
      <c r="A22" s="2" t="s">
        <v>21</v>
      </c>
      <c r="B22" s="3">
        <v>0</v>
      </c>
      <c r="C22" s="4"/>
      <c r="D22" s="9">
        <f>VLOOKUP(A22,'Quiz 1_Consolidado'!$A$2:$B$30,2,FALSE)</f>
        <v>3.6499999999999995</v>
      </c>
      <c r="E22" s="8">
        <v>3.6499999999999995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9.95" customHeight="1" thickBot="1" x14ac:dyDescent="0.35">
      <c r="A23" s="2" t="s">
        <v>22</v>
      </c>
      <c r="B23" s="3">
        <v>0</v>
      </c>
      <c r="C23" s="4"/>
      <c r="D23" s="9">
        <f>VLOOKUP(A23,'Quiz 1_Consolidado'!$A$2:$B$30,2,FALSE)</f>
        <v>3.3499999999999996</v>
      </c>
      <c r="E23" s="8">
        <v>3.3499999999999996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9.95" customHeight="1" thickBot="1" x14ac:dyDescent="0.35">
      <c r="A24" s="2" t="s">
        <v>23</v>
      </c>
      <c r="B24" s="3">
        <v>0</v>
      </c>
      <c r="C24" s="4"/>
      <c r="D24" s="9">
        <f>VLOOKUP(A24,'Quiz 1_Consolidado'!$A$2:$B$30,2,FALSE)</f>
        <v>3.02</v>
      </c>
      <c r="E24" s="8">
        <v>3.02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9.95" customHeight="1" thickBot="1" x14ac:dyDescent="0.35">
      <c r="A25" s="2" t="s">
        <v>24</v>
      </c>
      <c r="B25" s="3">
        <v>0</v>
      </c>
      <c r="C25" s="4"/>
      <c r="D25" s="9">
        <f>VLOOKUP(A25,'Quiz 1_Consolidado'!$A$2:$B$30,2,FALSE)</f>
        <v>3.4499999999999997</v>
      </c>
      <c r="E25" s="8">
        <v>3.4499999999999997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9.95" customHeight="1" thickBot="1" x14ac:dyDescent="0.35">
      <c r="A26" s="2" t="s">
        <v>25</v>
      </c>
      <c r="B26" s="3">
        <v>6.25E-2</v>
      </c>
      <c r="C26" s="4"/>
      <c r="D26" s="9">
        <f>VLOOKUP(A26,'Quiz 1_Consolidado'!$A$2:$B$30,2,FALSE)</f>
        <v>0</v>
      </c>
      <c r="E26" s="9">
        <v>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9.95" customHeight="1" thickBot="1" x14ac:dyDescent="0.35">
      <c r="A27" s="2" t="s">
        <v>26</v>
      </c>
      <c r="B27" s="3">
        <v>0</v>
      </c>
      <c r="C27" s="4"/>
      <c r="D27" s="9">
        <f>VLOOKUP(A27,'Quiz 1_Consolidado'!$A$2:$B$30,2,FALSE)</f>
        <v>2.48</v>
      </c>
      <c r="E27" s="9">
        <v>2.48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9.95" customHeight="1" thickBot="1" x14ac:dyDescent="0.35">
      <c r="A28" s="2" t="s">
        <v>27</v>
      </c>
      <c r="B28" s="3">
        <v>0</v>
      </c>
      <c r="C28" s="4"/>
      <c r="D28" s="9">
        <f>VLOOKUP(A28,'Quiz 1_Consolidado'!$A$2:$B$30,2,FALSE)</f>
        <v>4.41</v>
      </c>
      <c r="E28" s="8">
        <v>4.41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9.95" customHeight="1" thickBot="1" x14ac:dyDescent="0.35">
      <c r="A29" s="2" t="s">
        <v>28</v>
      </c>
      <c r="B29" s="3">
        <v>0</v>
      </c>
      <c r="C29" s="4"/>
      <c r="D29" s="9">
        <f>VLOOKUP(A29,'Quiz 1_Consolidado'!$A$2:$B$30,2,FALSE)</f>
        <v>2.72</v>
      </c>
      <c r="E29" s="9">
        <v>2.72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9.95" customHeight="1" thickBot="1" x14ac:dyDescent="0.35">
      <c r="A30" s="2" t="s">
        <v>29</v>
      </c>
      <c r="B30" s="3">
        <v>0</v>
      </c>
      <c r="C30" s="4"/>
      <c r="D30" s="9">
        <f>VLOOKUP(A30,'Quiz 1_Consolidado'!$A$2:$B$30,2,FALSE)</f>
        <v>2.09</v>
      </c>
      <c r="E30" s="9">
        <v>2.09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9.95" customHeight="1" thickBot="1" x14ac:dyDescent="0.35">
      <c r="A31" s="2" t="s">
        <v>30</v>
      </c>
      <c r="B31" s="3">
        <v>0</v>
      </c>
      <c r="C31" s="4"/>
      <c r="D31" s="9">
        <f>VLOOKUP(A31,'Quiz 1_Consolidado'!$A$2:$B$30,2,FALSE)</f>
        <v>3.6499999999999995</v>
      </c>
      <c r="E31" s="8">
        <v>3.6499999999999995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</sheetData>
  <autoFilter ref="D1:E31" xr:uid="{00000000-0001-0000-0000-000000000000}"/>
  <pageMargins left="0" right="0" top="0" bottom="0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95365-3BC2-440B-B49B-FD035DBCC9CD}">
  <sheetPr>
    <outlinePr summaryBelow="0"/>
  </sheetPr>
  <dimension ref="A1:X12"/>
  <sheetViews>
    <sheetView zoomScaleNormal="100" workbookViewId="0">
      <selection activeCell="K5" sqref="K5"/>
    </sheetView>
  </sheetViews>
  <sheetFormatPr baseColWidth="10" defaultColWidth="8.88671875" defaultRowHeight="14.4" x14ac:dyDescent="0.3"/>
  <cols>
    <col min="1" max="1" width="29.33203125" customWidth="1"/>
    <col min="2" max="24" width="11.6640625" customWidth="1"/>
  </cols>
  <sheetData>
    <row r="1" spans="1:24" ht="15" thickBot="1" x14ac:dyDescent="0.35">
      <c r="A1" s="1" t="s">
        <v>31</v>
      </c>
      <c r="B1" s="1" t="s">
        <v>0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</row>
    <row r="2" spans="1:24" ht="19.95" customHeight="1" thickBot="1" x14ac:dyDescent="0.35">
      <c r="A2" s="2" t="s">
        <v>2</v>
      </c>
      <c r="B2" s="3">
        <v>0</v>
      </c>
      <c r="C2" s="8">
        <v>0</v>
      </c>
      <c r="D2" s="8">
        <v>0</v>
      </c>
      <c r="E2" s="8">
        <v>0.63</v>
      </c>
      <c r="F2" s="8">
        <v>0.63</v>
      </c>
      <c r="G2" s="8">
        <v>0.63</v>
      </c>
      <c r="H2" s="8">
        <v>0</v>
      </c>
      <c r="I2" s="8">
        <v>0</v>
      </c>
      <c r="J2" s="8">
        <v>0.1</v>
      </c>
      <c r="K2" s="8">
        <f t="shared" ref="K2:K11" si="0">SUM(C2:J2)</f>
        <v>1.9900000000000002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9.95" customHeight="1" thickBot="1" x14ac:dyDescent="0.35">
      <c r="A3" s="2" t="s">
        <v>8</v>
      </c>
      <c r="B3" s="3">
        <v>0</v>
      </c>
      <c r="C3" s="8">
        <v>0.63</v>
      </c>
      <c r="D3" s="8">
        <v>0</v>
      </c>
      <c r="E3" s="8">
        <v>0.63</v>
      </c>
      <c r="F3" s="8">
        <v>0.63</v>
      </c>
      <c r="G3" s="8">
        <v>0</v>
      </c>
      <c r="H3" s="8">
        <v>0.63</v>
      </c>
      <c r="I3" s="8">
        <v>0</v>
      </c>
      <c r="J3" s="8">
        <v>0.3</v>
      </c>
      <c r="K3" s="8">
        <f t="shared" si="0"/>
        <v>2.82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95" customHeight="1" thickBot="1" x14ac:dyDescent="0.35">
      <c r="A4" s="2" t="s">
        <v>10</v>
      </c>
      <c r="B4" s="3">
        <v>6.25E-2</v>
      </c>
      <c r="C4" s="8">
        <v>0</v>
      </c>
      <c r="D4" s="8">
        <v>0.63</v>
      </c>
      <c r="E4" s="8">
        <v>0.63</v>
      </c>
      <c r="F4" s="8">
        <v>0.63</v>
      </c>
      <c r="G4" s="8">
        <v>0</v>
      </c>
      <c r="H4" s="8">
        <v>0.63</v>
      </c>
      <c r="I4" s="8">
        <v>0.63</v>
      </c>
      <c r="J4" s="8">
        <v>0.5</v>
      </c>
      <c r="K4" s="9">
        <f t="shared" si="0"/>
        <v>3.65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9.95" customHeight="1" thickBot="1" x14ac:dyDescent="0.35">
      <c r="A5" s="2" t="s">
        <v>11</v>
      </c>
      <c r="B5" s="3">
        <v>0</v>
      </c>
      <c r="C5" s="8">
        <v>0</v>
      </c>
      <c r="D5" s="8">
        <v>0.63</v>
      </c>
      <c r="E5" s="8">
        <v>0.63</v>
      </c>
      <c r="F5" s="8">
        <v>0.63</v>
      </c>
      <c r="G5" s="8">
        <v>0</v>
      </c>
      <c r="H5">
        <v>0.63</v>
      </c>
      <c r="I5">
        <v>0.62</v>
      </c>
      <c r="J5">
        <v>0.5</v>
      </c>
      <c r="K5" s="9">
        <f t="shared" si="0"/>
        <v>3.64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95" customHeight="1" thickBot="1" x14ac:dyDescent="0.35">
      <c r="A6" s="2" t="s">
        <v>18</v>
      </c>
      <c r="B6" s="3">
        <v>0</v>
      </c>
      <c r="C6" s="8">
        <v>0</v>
      </c>
      <c r="D6" s="8">
        <v>0</v>
      </c>
      <c r="E6" s="8">
        <v>0.63</v>
      </c>
      <c r="F6" s="8">
        <v>0</v>
      </c>
      <c r="G6" s="8">
        <v>0</v>
      </c>
      <c r="H6" s="8">
        <v>0</v>
      </c>
      <c r="I6" s="8">
        <v>0</v>
      </c>
      <c r="J6" s="8">
        <v>0.1</v>
      </c>
      <c r="K6" s="8">
        <f t="shared" si="0"/>
        <v>0.73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9.95" customHeight="1" thickBot="1" x14ac:dyDescent="0.35">
      <c r="A7" s="2" t="s">
        <v>20</v>
      </c>
      <c r="B7" s="3">
        <v>0</v>
      </c>
      <c r="C7" s="8">
        <v>0.63</v>
      </c>
      <c r="D7" s="8">
        <v>0.63</v>
      </c>
      <c r="E7" s="8">
        <v>0.63</v>
      </c>
      <c r="F7" s="8">
        <v>0.63</v>
      </c>
      <c r="G7" s="8">
        <v>0</v>
      </c>
      <c r="H7" s="8">
        <v>0.63</v>
      </c>
      <c r="I7" s="8">
        <v>0</v>
      </c>
      <c r="J7" s="8">
        <v>0.1</v>
      </c>
      <c r="K7" s="8">
        <f t="shared" si="0"/>
        <v>3.25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9.95" customHeight="1" thickBot="1" x14ac:dyDescent="0.35">
      <c r="A8" s="2" t="s">
        <v>23</v>
      </c>
      <c r="B8" s="3">
        <v>0</v>
      </c>
      <c r="C8" s="8">
        <v>0.63</v>
      </c>
      <c r="D8" s="8">
        <v>0.63</v>
      </c>
      <c r="E8" s="8">
        <v>0.63</v>
      </c>
      <c r="F8" s="8">
        <v>0.63</v>
      </c>
      <c r="G8" s="8">
        <v>0</v>
      </c>
      <c r="H8" s="8">
        <v>0</v>
      </c>
      <c r="I8" s="8">
        <v>0</v>
      </c>
      <c r="J8" s="8">
        <v>0.5</v>
      </c>
      <c r="K8" s="8">
        <f t="shared" si="0"/>
        <v>3.02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9.95" customHeight="1" thickBot="1" x14ac:dyDescent="0.35">
      <c r="A9" s="2" t="s">
        <v>25</v>
      </c>
      <c r="B9" s="3">
        <v>6.25E-2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f t="shared" si="0"/>
        <v>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95" customHeight="1" thickBot="1" x14ac:dyDescent="0.35">
      <c r="A10" s="2" t="s">
        <v>26</v>
      </c>
      <c r="B10" s="3">
        <v>0</v>
      </c>
      <c r="C10" s="8">
        <v>0</v>
      </c>
      <c r="D10" s="8">
        <v>0.63</v>
      </c>
      <c r="E10" s="8">
        <v>0.63</v>
      </c>
      <c r="F10" s="8">
        <v>0</v>
      </c>
      <c r="G10" s="8">
        <v>0</v>
      </c>
      <c r="H10" s="8">
        <v>0</v>
      </c>
      <c r="I10" s="8">
        <v>0.62</v>
      </c>
      <c r="J10" s="8">
        <v>0.6</v>
      </c>
      <c r="K10" s="9">
        <f t="shared" si="0"/>
        <v>2.48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9.95" customHeight="1" thickBot="1" x14ac:dyDescent="0.35">
      <c r="A11" s="2" t="s">
        <v>27</v>
      </c>
      <c r="B11" s="3">
        <v>0</v>
      </c>
      <c r="C11" s="8">
        <v>0.63</v>
      </c>
      <c r="D11" s="8">
        <v>0.63</v>
      </c>
      <c r="E11" s="8">
        <v>0.63</v>
      </c>
      <c r="F11" s="8">
        <v>0.63</v>
      </c>
      <c r="G11" s="8">
        <v>0.63</v>
      </c>
      <c r="H11" s="8">
        <v>0.63</v>
      </c>
      <c r="I11" s="8">
        <v>0.63</v>
      </c>
      <c r="J11" s="8">
        <v>0</v>
      </c>
      <c r="K11" s="8">
        <f t="shared" si="0"/>
        <v>4.41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9.95" customHeight="1" x14ac:dyDescent="0.3"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</sheetData>
  <phoneticPr fontId="4" type="noConversion"/>
  <pageMargins left="0" right="0" top="0" bottom="0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42D2-36A7-4539-AEBB-610378F8568D}">
  <sheetPr>
    <outlinePr summaryBelow="0"/>
  </sheetPr>
  <dimension ref="A1:X13"/>
  <sheetViews>
    <sheetView zoomScale="115" zoomScaleNormal="115" workbookViewId="0">
      <selection activeCell="A7" sqref="A7"/>
    </sheetView>
  </sheetViews>
  <sheetFormatPr baseColWidth="10" defaultColWidth="8.88671875" defaultRowHeight="14.4" x14ac:dyDescent="0.3"/>
  <cols>
    <col min="1" max="1" width="29.33203125" customWidth="1"/>
    <col min="2" max="24" width="11.6640625" customWidth="1"/>
  </cols>
  <sheetData>
    <row r="1" spans="1:24" ht="15" thickBot="1" x14ac:dyDescent="0.35">
      <c r="C1">
        <v>0.63</v>
      </c>
      <c r="D1">
        <v>0.63</v>
      </c>
      <c r="E1">
        <v>0.63</v>
      </c>
      <c r="F1">
        <v>0.63</v>
      </c>
      <c r="G1">
        <v>0.63</v>
      </c>
      <c r="H1">
        <v>0.63</v>
      </c>
      <c r="I1">
        <v>0.62</v>
      </c>
      <c r="J1">
        <v>0.6</v>
      </c>
      <c r="K1" s="7">
        <f>SUM(C1:J1)</f>
        <v>4.9999999999999991</v>
      </c>
      <c r="L1" s="6">
        <f>5/8</f>
        <v>0.625</v>
      </c>
    </row>
    <row r="2" spans="1:24" ht="15" thickBot="1" x14ac:dyDescent="0.35">
      <c r="A2" s="1" t="s">
        <v>31</v>
      </c>
      <c r="B2" s="1" t="s">
        <v>0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</row>
    <row r="3" spans="1:24" ht="15" thickBot="1" x14ac:dyDescent="0.35">
      <c r="A3" s="2" t="s">
        <v>1</v>
      </c>
      <c r="B3" s="3">
        <v>0</v>
      </c>
      <c r="C3" s="8">
        <v>0.63</v>
      </c>
      <c r="D3" s="8">
        <v>0.63</v>
      </c>
      <c r="E3" s="8">
        <v>0.63</v>
      </c>
      <c r="F3" s="8">
        <v>0.63</v>
      </c>
      <c r="G3" s="8">
        <v>0.63</v>
      </c>
      <c r="H3" s="8">
        <v>0</v>
      </c>
      <c r="I3" s="8">
        <v>0.63</v>
      </c>
      <c r="J3" s="8">
        <v>0.6</v>
      </c>
      <c r="K3" s="8">
        <f>SUM(C3:J3)</f>
        <v>4.38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95" customHeight="1" thickBot="1" x14ac:dyDescent="0.35">
      <c r="A4" s="2" t="s">
        <v>4</v>
      </c>
      <c r="B4" s="3">
        <v>0</v>
      </c>
      <c r="C4" s="8">
        <v>0.63</v>
      </c>
      <c r="D4" s="8">
        <v>0.63</v>
      </c>
      <c r="E4" s="8">
        <v>0</v>
      </c>
      <c r="F4" s="8">
        <v>0.63</v>
      </c>
      <c r="G4" s="8">
        <v>0</v>
      </c>
      <c r="H4" s="8">
        <v>0.63</v>
      </c>
      <c r="I4" s="8">
        <v>0</v>
      </c>
      <c r="J4" s="8">
        <v>0.1</v>
      </c>
      <c r="K4" s="8">
        <f t="shared" ref="K4:K12" si="0">SUM(C4:J4)</f>
        <v>2.62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9.95" customHeight="1" thickBot="1" x14ac:dyDescent="0.35">
      <c r="A5" s="2" t="s">
        <v>5</v>
      </c>
      <c r="B5" s="3">
        <v>0</v>
      </c>
      <c r="C5" s="8">
        <v>0</v>
      </c>
      <c r="D5" s="8">
        <v>0.63</v>
      </c>
      <c r="E5" s="8">
        <v>0.63</v>
      </c>
      <c r="F5" s="8">
        <v>0.63</v>
      </c>
      <c r="G5" s="8">
        <v>0.63</v>
      </c>
      <c r="H5" s="8">
        <v>0.63</v>
      </c>
      <c r="I5" s="8">
        <v>0</v>
      </c>
      <c r="J5" s="8">
        <v>0</v>
      </c>
      <c r="K5" s="8">
        <f t="shared" si="0"/>
        <v>3.15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95" customHeight="1" thickBot="1" x14ac:dyDescent="0.35">
      <c r="A6" s="2" t="s">
        <v>6</v>
      </c>
      <c r="B6" s="3">
        <v>0</v>
      </c>
      <c r="C6" s="8">
        <v>0.63</v>
      </c>
      <c r="D6" s="8">
        <v>0.63</v>
      </c>
      <c r="E6" s="8">
        <v>0.63</v>
      </c>
      <c r="F6" s="8">
        <v>0.63</v>
      </c>
      <c r="G6" s="8">
        <v>0.63</v>
      </c>
      <c r="H6" s="8">
        <v>0</v>
      </c>
      <c r="I6" s="8">
        <v>0.3</v>
      </c>
      <c r="J6" s="8">
        <v>0.5</v>
      </c>
      <c r="K6" s="8">
        <f t="shared" si="0"/>
        <v>3.9499999999999997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9.95" customHeight="1" thickBot="1" x14ac:dyDescent="0.35">
      <c r="A7" s="2" t="s">
        <v>9</v>
      </c>
      <c r="B7" s="3">
        <v>0</v>
      </c>
      <c r="C7" s="8">
        <v>0.63</v>
      </c>
      <c r="D7" s="8">
        <v>0.63</v>
      </c>
      <c r="E7" s="8">
        <v>0.63</v>
      </c>
      <c r="F7" s="8">
        <v>0.63</v>
      </c>
      <c r="G7" s="8">
        <v>0.63</v>
      </c>
      <c r="H7" s="8">
        <v>0.63</v>
      </c>
      <c r="I7" s="8">
        <v>0.63</v>
      </c>
      <c r="J7" s="8">
        <v>0.1</v>
      </c>
      <c r="K7" s="8">
        <f t="shared" si="0"/>
        <v>4.51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9.95" customHeight="1" thickBot="1" x14ac:dyDescent="0.35">
      <c r="A8" s="2" t="s">
        <v>12</v>
      </c>
      <c r="B8" s="3">
        <v>0</v>
      </c>
      <c r="C8" s="8">
        <v>0.63</v>
      </c>
      <c r="D8" s="8">
        <v>0</v>
      </c>
      <c r="E8" s="8">
        <v>0.63</v>
      </c>
      <c r="F8" s="8">
        <v>0.63</v>
      </c>
      <c r="G8" s="8">
        <v>0.63</v>
      </c>
      <c r="H8" s="8">
        <v>0</v>
      </c>
      <c r="I8" s="8">
        <v>0.63</v>
      </c>
      <c r="J8" s="8">
        <v>0.5</v>
      </c>
      <c r="K8" s="8">
        <f t="shared" si="0"/>
        <v>3.65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9.95" customHeight="1" thickBot="1" x14ac:dyDescent="0.35">
      <c r="A9" s="2" t="s">
        <v>13</v>
      </c>
      <c r="B9" s="3">
        <v>0</v>
      </c>
      <c r="C9" s="8">
        <v>0.63</v>
      </c>
      <c r="D9" s="8">
        <v>0.63</v>
      </c>
      <c r="E9" s="8">
        <v>0.63</v>
      </c>
      <c r="F9" s="8">
        <v>0.63</v>
      </c>
      <c r="G9" s="8">
        <v>0.63</v>
      </c>
      <c r="H9" s="8">
        <v>0.63</v>
      </c>
      <c r="I9" s="8">
        <v>0</v>
      </c>
      <c r="J9" s="8">
        <v>0.5</v>
      </c>
      <c r="K9" s="8">
        <f t="shared" si="0"/>
        <v>4.2799999999999994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95" customHeight="1" thickBot="1" x14ac:dyDescent="0.35">
      <c r="A10" s="2" t="s">
        <v>15</v>
      </c>
      <c r="B10" s="3">
        <v>6.25E-2</v>
      </c>
      <c r="C10" s="8">
        <v>0.63</v>
      </c>
      <c r="D10" s="8">
        <v>0</v>
      </c>
      <c r="E10" s="8">
        <v>0.63</v>
      </c>
      <c r="F10" s="8">
        <v>0</v>
      </c>
      <c r="G10" s="8">
        <v>0.63</v>
      </c>
      <c r="H10" s="8">
        <v>0.63</v>
      </c>
      <c r="I10" s="8">
        <v>0</v>
      </c>
      <c r="J10" s="8">
        <v>0.1</v>
      </c>
      <c r="K10" s="8">
        <f t="shared" si="0"/>
        <v>2.62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9.95" customHeight="1" thickBot="1" x14ac:dyDescent="0.35">
      <c r="A11" s="2" t="s">
        <v>19</v>
      </c>
      <c r="B11" s="3">
        <v>0</v>
      </c>
      <c r="C11" s="8">
        <v>0</v>
      </c>
      <c r="D11" s="8">
        <v>0.63</v>
      </c>
      <c r="E11" s="8">
        <v>0.63</v>
      </c>
      <c r="F11" s="8">
        <v>0.63</v>
      </c>
      <c r="G11" s="8">
        <v>0.63</v>
      </c>
      <c r="H11" s="8">
        <v>0</v>
      </c>
      <c r="I11" s="8">
        <v>0.63</v>
      </c>
      <c r="J11" s="8">
        <v>0.5</v>
      </c>
      <c r="K11" s="8">
        <f t="shared" si="0"/>
        <v>3.65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9.95" customHeight="1" thickBot="1" x14ac:dyDescent="0.35">
      <c r="A12" s="2" t="s">
        <v>28</v>
      </c>
      <c r="B12" s="3">
        <v>0</v>
      </c>
      <c r="C12" s="8">
        <v>0</v>
      </c>
      <c r="D12" s="8">
        <v>0.63</v>
      </c>
      <c r="E12" s="8">
        <v>0.63</v>
      </c>
      <c r="F12" s="8">
        <v>0.63</v>
      </c>
      <c r="G12" s="8">
        <v>0</v>
      </c>
      <c r="H12" s="8">
        <v>0.63</v>
      </c>
      <c r="I12" s="8">
        <v>0</v>
      </c>
      <c r="J12" s="8">
        <v>0.2</v>
      </c>
      <c r="K12" s="8">
        <f t="shared" si="0"/>
        <v>2.72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9.95" customHeight="1" x14ac:dyDescent="0.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</sheetData>
  <pageMargins left="0" right="0" top="0" bottom="0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925E-20CF-4094-B3F6-0538258DBA87}">
  <sheetPr>
    <outlinePr summaryBelow="0"/>
  </sheetPr>
  <dimension ref="A1:X11"/>
  <sheetViews>
    <sheetView zoomScaleNormal="100" workbookViewId="0">
      <selection activeCell="A11" sqref="A11"/>
    </sheetView>
  </sheetViews>
  <sheetFormatPr baseColWidth="10" defaultColWidth="8.88671875" defaultRowHeight="14.4" x14ac:dyDescent="0.3"/>
  <cols>
    <col min="1" max="1" width="29.33203125" customWidth="1"/>
    <col min="2" max="24" width="11.6640625" customWidth="1"/>
  </cols>
  <sheetData>
    <row r="1" spans="1:24" ht="15" thickBot="1" x14ac:dyDescent="0.35">
      <c r="C1">
        <v>0.6</v>
      </c>
      <c r="D1">
        <v>0.63</v>
      </c>
      <c r="E1">
        <v>0.63</v>
      </c>
      <c r="F1">
        <v>0.63</v>
      </c>
      <c r="G1">
        <v>0.63</v>
      </c>
      <c r="H1">
        <v>0.63</v>
      </c>
      <c r="I1">
        <v>0.63</v>
      </c>
      <c r="J1">
        <v>0.62</v>
      </c>
      <c r="K1" s="7">
        <f>SUM(C1:J1)</f>
        <v>5</v>
      </c>
    </row>
    <row r="2" spans="1:24" ht="31.95" customHeight="1" thickBot="1" x14ac:dyDescent="0.35">
      <c r="A2" s="1" t="s">
        <v>31</v>
      </c>
      <c r="B2" s="1" t="s">
        <v>0</v>
      </c>
      <c r="C2" s="5" t="s">
        <v>32</v>
      </c>
      <c r="D2" s="5" t="s">
        <v>33</v>
      </c>
      <c r="E2" s="5" t="s">
        <v>34</v>
      </c>
      <c r="F2" s="5" t="s">
        <v>35</v>
      </c>
      <c r="G2" s="5" t="s">
        <v>36</v>
      </c>
      <c r="H2" s="5" t="s">
        <v>37</v>
      </c>
      <c r="I2" s="5" t="s">
        <v>38</v>
      </c>
      <c r="J2" s="5" t="s">
        <v>39</v>
      </c>
      <c r="K2" s="5" t="s">
        <v>40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9.95" customHeight="1" thickBot="1" x14ac:dyDescent="0.35">
      <c r="A3" s="2" t="s">
        <v>7</v>
      </c>
      <c r="B3" s="3">
        <v>0</v>
      </c>
      <c r="C3" s="8">
        <v>0.3</v>
      </c>
      <c r="D3" s="8">
        <v>0.63</v>
      </c>
      <c r="E3" s="8">
        <v>0.63</v>
      </c>
      <c r="F3" s="8">
        <v>0</v>
      </c>
      <c r="G3" s="8">
        <v>0</v>
      </c>
      <c r="H3" s="8">
        <v>0.63</v>
      </c>
      <c r="I3" s="8">
        <v>0.63</v>
      </c>
      <c r="J3" s="8">
        <v>0</v>
      </c>
      <c r="K3" s="8">
        <f t="shared" ref="K3:K11" si="0">SUM(C3:J3)</f>
        <v>2.82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9.95" customHeight="1" thickBot="1" x14ac:dyDescent="0.35">
      <c r="A4" s="2" t="s">
        <v>11</v>
      </c>
      <c r="B4" s="3">
        <v>0</v>
      </c>
      <c r="C4" s="8">
        <v>0</v>
      </c>
      <c r="D4" s="8">
        <v>0</v>
      </c>
      <c r="E4" s="8">
        <v>0.63</v>
      </c>
      <c r="F4" s="8">
        <v>0.63</v>
      </c>
      <c r="G4" s="8">
        <v>0.63</v>
      </c>
      <c r="H4" s="8">
        <v>0.63</v>
      </c>
      <c r="I4" s="8">
        <v>0.63</v>
      </c>
      <c r="J4" s="8">
        <v>0</v>
      </c>
      <c r="K4" s="8">
        <f t="shared" si="0"/>
        <v>3.15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9.95" customHeight="1" thickBot="1" x14ac:dyDescent="0.35">
      <c r="A5" s="2" t="s">
        <v>14</v>
      </c>
      <c r="B5" s="3">
        <v>0.125</v>
      </c>
      <c r="C5" s="8">
        <v>0</v>
      </c>
      <c r="D5" s="8">
        <v>0.63</v>
      </c>
      <c r="E5" s="8">
        <v>0.63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f t="shared" si="0"/>
        <v>1.26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9.95" customHeight="1" thickBot="1" x14ac:dyDescent="0.35">
      <c r="A6" s="2" t="s">
        <v>16</v>
      </c>
      <c r="B6" s="3">
        <v>0</v>
      </c>
      <c r="C6" s="8">
        <v>0.2</v>
      </c>
      <c r="D6" s="8">
        <v>0.63</v>
      </c>
      <c r="E6" s="8">
        <v>0.63</v>
      </c>
      <c r="F6" s="8">
        <v>0.63</v>
      </c>
      <c r="G6" s="8">
        <v>0.63</v>
      </c>
      <c r="H6" s="8">
        <v>0.63</v>
      </c>
      <c r="I6" s="8">
        <v>0.63</v>
      </c>
      <c r="J6" s="8">
        <v>0.63</v>
      </c>
      <c r="K6" s="8">
        <f t="shared" si="0"/>
        <v>4.6099999999999994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9.95" customHeight="1" thickBot="1" x14ac:dyDescent="0.35">
      <c r="A7" s="2" t="s">
        <v>21</v>
      </c>
      <c r="B7" s="3">
        <v>0</v>
      </c>
      <c r="C7" s="8">
        <v>0.5</v>
      </c>
      <c r="D7" s="8">
        <v>0.63</v>
      </c>
      <c r="E7" s="8">
        <v>0.63</v>
      </c>
      <c r="F7" s="8">
        <v>0.63</v>
      </c>
      <c r="G7" s="8">
        <v>0.63</v>
      </c>
      <c r="H7" s="8">
        <v>0</v>
      </c>
      <c r="I7" s="8">
        <v>0.63</v>
      </c>
      <c r="J7" s="8">
        <v>0</v>
      </c>
      <c r="K7" s="8">
        <f t="shared" si="0"/>
        <v>3.6499999999999995</v>
      </c>
      <c r="L7" s="8"/>
      <c r="M7" s="8"/>
      <c r="N7" s="8"/>
      <c r="O7" s="8"/>
      <c r="P7" s="4"/>
      <c r="Q7" s="4"/>
      <c r="R7" s="4"/>
      <c r="S7" s="4"/>
      <c r="T7" s="4"/>
      <c r="U7" s="4"/>
      <c r="V7" s="4"/>
      <c r="W7" s="4"/>
      <c r="X7" s="4"/>
    </row>
    <row r="8" spans="1:24" ht="19.95" customHeight="1" thickBot="1" x14ac:dyDescent="0.35">
      <c r="A8" s="2" t="s">
        <v>22</v>
      </c>
      <c r="B8" s="3">
        <v>0</v>
      </c>
      <c r="C8" s="8">
        <v>0.2</v>
      </c>
      <c r="D8" s="8">
        <v>0</v>
      </c>
      <c r="E8" s="8">
        <v>0.63</v>
      </c>
      <c r="F8" s="8">
        <v>0.63</v>
      </c>
      <c r="G8" s="8">
        <v>0.63</v>
      </c>
      <c r="H8" s="8">
        <v>0.63</v>
      </c>
      <c r="I8" s="8">
        <v>0.63</v>
      </c>
      <c r="J8" s="8">
        <v>0</v>
      </c>
      <c r="K8" s="8">
        <f t="shared" si="0"/>
        <v>3.3499999999999996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9.95" customHeight="1" thickBot="1" x14ac:dyDescent="0.35">
      <c r="A9" s="2" t="s">
        <v>24</v>
      </c>
      <c r="B9" s="3">
        <v>0</v>
      </c>
      <c r="C9" s="8">
        <v>0.3</v>
      </c>
      <c r="D9" s="8">
        <v>0.63</v>
      </c>
      <c r="E9" s="8">
        <v>0.63</v>
      </c>
      <c r="F9" s="8">
        <v>0.63</v>
      </c>
      <c r="G9" s="8">
        <v>0.63</v>
      </c>
      <c r="H9" s="8">
        <v>0</v>
      </c>
      <c r="I9" s="8">
        <v>0</v>
      </c>
      <c r="J9" s="8">
        <v>0.63</v>
      </c>
      <c r="K9" s="8">
        <f t="shared" si="0"/>
        <v>3.4499999999999997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9.95" customHeight="1" thickBot="1" x14ac:dyDescent="0.35">
      <c r="A10" s="2" t="s">
        <v>29</v>
      </c>
      <c r="B10" s="3">
        <v>0</v>
      </c>
      <c r="C10" s="8">
        <v>0.2</v>
      </c>
      <c r="D10" s="8">
        <v>0</v>
      </c>
      <c r="E10" s="8">
        <v>0.63</v>
      </c>
      <c r="F10" s="8">
        <v>0.63</v>
      </c>
      <c r="G10" s="8">
        <v>0.63</v>
      </c>
      <c r="H10" s="8">
        <v>0</v>
      </c>
      <c r="I10" s="8">
        <v>0</v>
      </c>
      <c r="J10" s="8">
        <v>0</v>
      </c>
      <c r="K10" s="8">
        <f t="shared" si="0"/>
        <v>2.09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9.95" customHeight="1" thickBot="1" x14ac:dyDescent="0.35">
      <c r="A11" s="2" t="s">
        <v>30</v>
      </c>
      <c r="B11" s="3">
        <v>0</v>
      </c>
      <c r="C11" s="8">
        <v>0.5</v>
      </c>
      <c r="D11" s="8">
        <v>0.63</v>
      </c>
      <c r="E11" s="8">
        <v>0.63</v>
      </c>
      <c r="F11" s="8">
        <v>0.63</v>
      </c>
      <c r="G11" s="8">
        <v>0.63</v>
      </c>
      <c r="H11" s="8">
        <v>0</v>
      </c>
      <c r="I11" s="8">
        <v>0.63</v>
      </c>
      <c r="J11" s="8">
        <v>0</v>
      </c>
      <c r="K11" s="8">
        <f t="shared" si="0"/>
        <v>3.6499999999999995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</sheetData>
  <pageMargins left="0" right="0" top="0" bottom="0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2B10-8D41-44E6-A2FA-127D75AF07EB}">
  <dimension ref="A1:B30"/>
  <sheetViews>
    <sheetView workbookViewId="0">
      <selection activeCell="A22" sqref="A22:B30"/>
    </sheetView>
  </sheetViews>
  <sheetFormatPr baseColWidth="10" defaultRowHeight="14.4" x14ac:dyDescent="0.3"/>
  <cols>
    <col min="1" max="1" width="39.109375" bestFit="1" customWidth="1"/>
  </cols>
  <sheetData>
    <row r="1" spans="1:2" x14ac:dyDescent="0.3">
      <c r="A1" t="s">
        <v>31</v>
      </c>
      <c r="B1" t="s">
        <v>42</v>
      </c>
    </row>
    <row r="2" spans="1:2" x14ac:dyDescent="0.3">
      <c r="A2" t="str">
        <f>Q1_V1!A2</f>
        <v>Arrechea Hernandez,Adrian Santiago Alejandro</v>
      </c>
      <c r="B2" s="10">
        <f>Q1_V1!K2</f>
        <v>1.9900000000000002</v>
      </c>
    </row>
    <row r="3" spans="1:2" x14ac:dyDescent="0.3">
      <c r="A3" t="str">
        <f>Q1_V1!A3</f>
        <v>Erazo Poveda,Juan Manuel</v>
      </c>
      <c r="B3" s="10">
        <f>Q1_V1!K3</f>
        <v>2.82</v>
      </c>
    </row>
    <row r="4" spans="1:2" x14ac:dyDescent="0.3">
      <c r="A4" t="str">
        <f>Q1_V1!A4</f>
        <v>Gracia Martinez,Juan Jose</v>
      </c>
      <c r="B4" s="10">
        <f>Q1_V1!K4</f>
        <v>3.65</v>
      </c>
    </row>
    <row r="5" spans="1:2" x14ac:dyDescent="0.3">
      <c r="A5" t="str">
        <f>Q1_V1!A5</f>
        <v>Gutierrez Fonseca,Juan Jose</v>
      </c>
      <c r="B5" s="10">
        <f>Q1_V1!K5</f>
        <v>3.64</v>
      </c>
    </row>
    <row r="6" spans="1:2" x14ac:dyDescent="0.3">
      <c r="A6" t="str">
        <f>Q1_V1!A6</f>
        <v>Rengifo Castaño,Jorge Andres</v>
      </c>
      <c r="B6" s="10">
        <f>Q1_V1!K6</f>
        <v>0.73</v>
      </c>
    </row>
    <row r="7" spans="1:2" x14ac:dyDescent="0.3">
      <c r="A7" t="str">
        <f>Q1_V1!A7</f>
        <v>Reyes Marin,Sarah</v>
      </c>
      <c r="B7" s="10">
        <f>Q1_V1!K7</f>
        <v>3.25</v>
      </c>
    </row>
    <row r="8" spans="1:2" x14ac:dyDescent="0.3">
      <c r="A8" t="str">
        <f>Q1_V1!A8</f>
        <v>Ruano Herrera,Isabella</v>
      </c>
      <c r="B8" s="10">
        <f>Q1_V1!K8</f>
        <v>3.02</v>
      </c>
    </row>
    <row r="9" spans="1:2" x14ac:dyDescent="0.3">
      <c r="A9" t="str">
        <f>Q1_V1!A9</f>
        <v>Suarez Rincon,Samuel Esteban</v>
      </c>
      <c r="B9" s="10">
        <f>Q1_V1!K9</f>
        <v>0</v>
      </c>
    </row>
    <row r="10" spans="1:2" x14ac:dyDescent="0.3">
      <c r="A10" t="str">
        <f>Q1_V1!A10</f>
        <v>Tamayo Millan,Nicolas</v>
      </c>
      <c r="B10" s="10">
        <f>Q1_V1!K10</f>
        <v>2.48</v>
      </c>
    </row>
    <row r="11" spans="1:2" x14ac:dyDescent="0.3">
      <c r="A11" t="str">
        <f>Q1_V1!A11</f>
        <v>Vargas Bravo,Angie Catalina</v>
      </c>
      <c r="B11" s="10">
        <f>Q1_V1!K11</f>
        <v>4.41</v>
      </c>
    </row>
    <row r="12" spans="1:2" x14ac:dyDescent="0.3">
      <c r="A12" t="str">
        <f>Q1_V2!A3</f>
        <v>Amaya Soto,Sergio Andres</v>
      </c>
      <c r="B12" s="10">
        <f>Q1_V2!K3</f>
        <v>4.38</v>
      </c>
    </row>
    <row r="13" spans="1:2" x14ac:dyDescent="0.3">
      <c r="A13" t="str">
        <f>Q1_V2!A4</f>
        <v>Caicedo Gil,Juan Jose</v>
      </c>
      <c r="B13" s="10">
        <f>Q1_V2!K4</f>
        <v>2.62</v>
      </c>
    </row>
    <row r="14" spans="1:2" x14ac:dyDescent="0.3">
      <c r="A14" t="str">
        <f>Q1_V2!A5</f>
        <v>Cuellar Useche,Juan Jose</v>
      </c>
      <c r="B14" s="10">
        <f>Q1_V2!K5</f>
        <v>3.15</v>
      </c>
    </row>
    <row r="15" spans="1:2" x14ac:dyDescent="0.3">
      <c r="A15" t="str">
        <f>Q1_V2!A6</f>
        <v>Cuervo Varona,Juan Diego</v>
      </c>
      <c r="B15" s="10">
        <f>Q1_V2!K6</f>
        <v>3.9499999999999997</v>
      </c>
    </row>
    <row r="16" spans="1:2" x14ac:dyDescent="0.3">
      <c r="A16" t="str">
        <f>Q1_V2!A7</f>
        <v>Garcia Castañeda,Andres Felipe</v>
      </c>
      <c r="B16" s="10">
        <f>Q1_V2!K7</f>
        <v>4.51</v>
      </c>
    </row>
    <row r="17" spans="1:2" x14ac:dyDescent="0.3">
      <c r="A17" t="str">
        <f>Q1_V2!A8</f>
        <v>Henao Rincon,Martin</v>
      </c>
      <c r="B17" s="10">
        <f>Q1_V2!K8</f>
        <v>3.65</v>
      </c>
    </row>
    <row r="18" spans="1:2" x14ac:dyDescent="0.3">
      <c r="A18" t="str">
        <f>Q1_V2!A9</f>
        <v>Herrera Duarte,Miguel Angel</v>
      </c>
      <c r="B18" s="10">
        <f>Q1_V2!K9</f>
        <v>4.2799999999999994</v>
      </c>
    </row>
    <row r="19" spans="1:2" x14ac:dyDescent="0.3">
      <c r="A19" t="str">
        <f>Q1_V2!A10</f>
        <v>Moreno Calderon,Nicolas</v>
      </c>
      <c r="B19" s="10">
        <f>Q1_V2!K10</f>
        <v>2.62</v>
      </c>
    </row>
    <row r="20" spans="1:2" x14ac:dyDescent="0.3">
      <c r="A20" t="str">
        <f>Q1_V2!A11</f>
        <v>Reyes Erazo,Salome</v>
      </c>
      <c r="B20" s="10">
        <f>Q1_V2!K11</f>
        <v>3.65</v>
      </c>
    </row>
    <row r="21" spans="1:2" x14ac:dyDescent="0.3">
      <c r="A21" t="str">
        <f>Q1_V2!A12</f>
        <v>Velasco Davila,Gabriela</v>
      </c>
      <c r="B21" s="10">
        <f>Q1_V2!K12</f>
        <v>2.72</v>
      </c>
    </row>
    <row r="22" spans="1:2" x14ac:dyDescent="0.3">
      <c r="A22" t="str">
        <f>Q1_V3!A3</f>
        <v>Diaz Benitez,Nicol Julieth</v>
      </c>
      <c r="B22" s="10">
        <f>Q1_V3!K3</f>
        <v>2.82</v>
      </c>
    </row>
    <row r="23" spans="1:2" x14ac:dyDescent="0.3">
      <c r="A23" t="str">
        <f>Q1_V3!A4</f>
        <v>Gutierrez Fonseca,Juan Jose</v>
      </c>
      <c r="B23" s="10">
        <f>Q1_V3!K4</f>
        <v>3.15</v>
      </c>
    </row>
    <row r="24" spans="1:2" x14ac:dyDescent="0.3">
      <c r="A24" t="str">
        <f>Q1_V3!A5</f>
        <v>Mendez Lañas,Julian David</v>
      </c>
      <c r="B24" s="10">
        <f>Q1_V3!K5</f>
        <v>1.26</v>
      </c>
    </row>
    <row r="25" spans="1:2" x14ac:dyDescent="0.3">
      <c r="A25" t="str">
        <f>Q1_V3!A6</f>
        <v>Perez Vargas,Santiago</v>
      </c>
      <c r="B25" s="10">
        <f>Q1_V3!K6</f>
        <v>4.6099999999999994</v>
      </c>
    </row>
    <row r="26" spans="1:2" x14ac:dyDescent="0.3">
      <c r="A26" t="str">
        <f>Q1_V3!A7</f>
        <v>Roa Bueno,Alejandro</v>
      </c>
      <c r="B26" s="10">
        <f>Q1_V3!K7</f>
        <v>3.6499999999999995</v>
      </c>
    </row>
    <row r="27" spans="1:2" x14ac:dyDescent="0.3">
      <c r="A27" t="str">
        <f>Q1_V3!A8</f>
        <v>Rojas Leon,Leonardo Jose</v>
      </c>
      <c r="B27" s="10">
        <f>Q1_V3!K8</f>
        <v>3.3499999999999996</v>
      </c>
    </row>
    <row r="28" spans="1:2" x14ac:dyDescent="0.3">
      <c r="A28" t="str">
        <f>Q1_V3!A9</f>
        <v>Silva Cabezas,Juan Sebastian</v>
      </c>
      <c r="B28" s="10">
        <f>Q1_V3!K9</f>
        <v>3.4499999999999997</v>
      </c>
    </row>
    <row r="29" spans="1:2" x14ac:dyDescent="0.3">
      <c r="A29" t="str">
        <f>Q1_V3!A10</f>
        <v>Villa Gamez,Jose Miguel</v>
      </c>
      <c r="B29" s="10">
        <f>Q1_V3!K10</f>
        <v>2.09</v>
      </c>
    </row>
    <row r="30" spans="1:2" x14ac:dyDescent="0.3">
      <c r="A30" t="str">
        <f>Q1_V3!A11</f>
        <v>Villota Quintero,Alejandro</v>
      </c>
      <c r="B30" s="10">
        <f>Q1_V3!K11</f>
        <v>3.6499999999999995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report name</vt:lpstr>
      <vt:lpstr>Q1_V1</vt:lpstr>
      <vt:lpstr>Q1_V2</vt:lpstr>
      <vt:lpstr>Q1_V3</vt:lpstr>
      <vt:lpstr>Quiz 1_Consolidado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2026-03-11T16:47:44Z</dcterms:modified>
</cp:coreProperties>
</file>